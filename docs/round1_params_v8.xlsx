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20" yWindow="660" windowWidth="24320" windowHeight="18140" tabRatio="5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Aux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#,##0.0"/>
  </numFmts>
  <fonts count="11">
    <font>
      <name val="Calibri"/>
      <charset val="1"/>
      <family val="2"/>
      <color theme="1"/>
      <sz val="11"/>
    </font>
    <font>
      <name val="Arial"/>
      <family val="2"/>
      <b val="1"/>
      <color rgb="FFFFFFFF"/>
      <sz val="13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rgb="FF0000FF"/>
      <sz val="10"/>
    </font>
    <font>
      <name val="Noto Sans CJK SC"/>
      <charset val="1"/>
      <family val="2"/>
      <color rgb="FF000000"/>
      <sz val="10"/>
    </font>
    <font>
      <name val="Arial"/>
      <family val="2"/>
      <b val="1"/>
      <color rgb="FF000000"/>
      <sz val="10"/>
    </font>
    <font>
      <name val="Noto Sans CJK SC"/>
      <charset val="1"/>
      <family val="2"/>
      <i val="1"/>
      <color rgb="FF595959"/>
      <sz val="9"/>
    </font>
    <font>
      <name val="Noto Sans CJK SC"/>
      <family val="2"/>
      <b val="1"/>
      <sz val="11"/>
    </font>
    <font>
      <name val="Cambria"/>
      <family val="1"/>
      <b val="1"/>
      <sz val="11"/>
    </font>
  </fonts>
  <fills count="10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3366FF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BDD7EE"/>
        <bgColor rgb="FFD9E1F2"/>
      </patternFill>
    </fill>
  </fills>
  <borders count="7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B8B8B8"/>
      </left>
      <right/>
      <top style="thin">
        <color rgb="FFB8B8B8"/>
      </top>
      <bottom style="thin">
        <color rgb="FFB8B8B8"/>
      </bottom>
      <diagonal/>
    </border>
    <border>
      <left/>
      <right/>
      <top style="thin">
        <color rgb="FFB8B8B8"/>
      </top>
      <bottom style="thin">
        <color rgb="FFB8B8B8"/>
      </bottom>
      <diagonal/>
    </border>
    <border>
      <left/>
      <right style="thin">
        <color rgb="FFB8B8B8"/>
      </right>
      <top style="thin">
        <color rgb="FFB8B8B8"/>
      </top>
      <bottom style="thin">
        <color rgb="FFB8B8B8"/>
      </bottom>
      <diagonal/>
    </border>
    <border>
      <left/>
      <right/>
      <top style="thin">
        <color rgb="FFB8B8B8"/>
      </top>
      <bottom/>
      <diagonal/>
    </border>
    <border>
      <left/>
      <right style="thin">
        <color rgb="FFB8B8B8"/>
      </right>
      <top style="thin">
        <color rgb="FFB8B8B8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" fontId="5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center" vertical="center" wrapText="1"/>
    </xf>
    <xf numFmtId="9" fontId="5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9" fontId="4" fillId="7" borderId="1" applyAlignment="1" pivotButton="0" quotePrefix="0" xfId="0">
      <alignment horizontal="center" vertical="center" wrapText="1"/>
    </xf>
    <xf numFmtId="2" fontId="4" fillId="7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9" fontId="4" fillId="8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9" borderId="0" applyAlignment="1" pivotButton="0" quotePrefix="0" xfId="0">
      <alignment horizontal="center" vertical="center"/>
    </xf>
    <xf numFmtId="0" fontId="0" fillId="5" borderId="0" pivotButton="0" quotePrefix="0" xfId="0"/>
    <xf numFmtId="0" fontId="6" fillId="5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7" borderId="2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8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B8B8"/>
      <rgbColor rgb="FF808080"/>
      <rgbColor rgb="FF9999FF"/>
      <rgbColor rgb="FF993366"/>
      <rgbColor rgb="FFF2F2F2"/>
      <rgbColor rgb="FFD9E1F2"/>
      <rgbColor rgb="FF660066"/>
      <rgbColor rgb="FFFF8080"/>
      <rgbColor rgb="FF2E5F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showGridLines="0" tabSelected="1" topLeftCell="A16" zoomScaleNormal="100" workbookViewId="0">
      <selection activeCell="F43" sqref="F43"/>
    </sheetView>
  </sheetViews>
  <sheetFormatPr baseColWidth="10" defaultColWidth="8.6640625" defaultRowHeight="15"/>
  <cols>
    <col width="24" customWidth="1" style="31" min="1" max="1"/>
    <col width="13" customWidth="1" style="31" min="2" max="5"/>
    <col width="16" customWidth="1" style="31" min="6" max="7"/>
    <col width="13" customWidth="1" style="31" min="8" max="9"/>
    <col width="18" customWidth="1" style="31" min="10" max="10"/>
    <col width="30" customWidth="1" style="31" min="11" max="11"/>
  </cols>
  <sheetData>
    <row r="1" ht="30" customHeight="1" s="31">
      <c r="A1" s="32" t="inlineStr">
        <is>
          <t>EMBA-AI-SIM Round 1 · 外生参数 &amp; WTP &amp; SAM（含Excel公式）</t>
        </is>
      </c>
    </row>
    <row r="3" ht="19.5" customHeight="1" s="31">
      <c r="A3" s="33" t="inlineStr">
        <is>
          <t>【A】全局参数（黄色 = 可修改）</t>
        </is>
      </c>
    </row>
    <row r="4" ht="15" customHeight="1" s="31">
      <c r="A4" s="28" t="inlineStr">
        <is>
          <t>参数名</t>
        </is>
      </c>
      <c r="B4" s="28" t="inlineStr">
        <is>
          <t>数值</t>
        </is>
      </c>
      <c r="C4" s="35" t="inlineStr">
        <is>
          <t>说明</t>
        </is>
      </c>
      <c r="D4" s="26" t="n"/>
      <c r="E4" s="26" t="n"/>
      <c r="F4" s="26" t="n"/>
      <c r="G4" s="26" t="n"/>
      <c r="H4" s="26" t="n"/>
      <c r="I4" s="26" t="n"/>
      <c r="J4" s="26" t="n"/>
      <c r="K4" s="26" t="n"/>
    </row>
    <row r="5" ht="15" customHeight="1" s="31">
      <c r="A5" s="2" t="inlineStr">
        <is>
          <t>LOVOT真实售价锚点（元）</t>
        </is>
      </c>
      <c r="B5" s="3" t="n">
        <v>30000</v>
      </c>
      <c r="C5" s="25" t="inlineStr">
        <is>
          <t>用于反推各格子WTP中位数的价格锚点</t>
        </is>
      </c>
      <c r="D5" s="26" t="n"/>
      <c r="E5" s="26" t="n"/>
      <c r="F5" s="26" t="n"/>
      <c r="G5" s="26" t="n"/>
      <c r="H5" s="26" t="n"/>
      <c r="I5" s="26" t="n"/>
      <c r="J5" s="26" t="n"/>
      <c r="K5" s="26" t="n"/>
    </row>
    <row r="6" ht="15" customHeight="1" s="31">
      <c r="A6" s="4" t="inlineStr">
        <is>
          <t>ToB阶梯数 N_STEPS</t>
        </is>
      </c>
      <c r="B6" s="5" t="n">
        <v>20</v>
      </c>
      <c r="C6" s="27" t="inlineStr">
        <is>
          <t>把分布切成N等份；B端每bucket按上限支付，B端mean = Σ(bucket上限价格)/N</t>
        </is>
      </c>
      <c r="D6" s="26" t="n"/>
      <c r="E6" s="26" t="n"/>
      <c r="F6" s="26" t="n"/>
      <c r="G6" s="26" t="n"/>
      <c r="H6" s="26" t="n"/>
      <c r="I6" s="26" t="n"/>
      <c r="J6" s="26" t="n"/>
      <c r="K6" s="26" t="n"/>
    </row>
    <row r="8" ht="19.5" customHeight="1" s="31">
      <c r="A8" s="33" t="inlineStr">
        <is>
          <t>【B】分布形状参数——DIFF格用正态(cv)，COST格用对数正态(σ_log)</t>
        </is>
      </c>
    </row>
    <row r="9" ht="15" customHeight="1" s="31">
      <c r="A9" s="28" t="inlineStr">
        <is>
          <t>参数</t>
        </is>
      </c>
      <c r="B9" s="6" t="inlineStr">
        <is>
          <t>ELDER</t>
        </is>
      </c>
      <c r="C9" s="6" t="inlineStr">
        <is>
          <t>ADULT</t>
        </is>
      </c>
      <c r="D9" s="6" t="inlineStr">
        <is>
          <t>CHILD</t>
        </is>
      </c>
      <c r="E9" s="28" t="inlineStr">
        <is>
          <t>说明</t>
        </is>
      </c>
      <c r="F9" s="26" t="n"/>
      <c r="G9" s="26" t="n"/>
      <c r="H9" s="26" t="n"/>
      <c r="I9" s="26" t="n"/>
      <c r="J9" s="26" t="n"/>
      <c r="K9" s="29" t="n"/>
    </row>
    <row r="10" ht="15" customHeight="1" s="31">
      <c r="A10" s="2" t="inlineStr">
        <is>
          <t>cv（正态，DIFF格）</t>
        </is>
      </c>
      <c r="B10" s="7" t="n">
        <v>0.35</v>
      </c>
      <c r="C10" s="7" t="n">
        <v>0.4</v>
      </c>
      <c r="D10" s="7" t="n">
        <v>0.38</v>
      </c>
      <c r="E10" s="25" t="inlineStr">
        <is>
          <t>变异系数 σ/μ；越大分布越宽</t>
        </is>
      </c>
      <c r="F10" s="26" t="n"/>
      <c r="G10" s="26" t="n"/>
      <c r="H10" s="26" t="n"/>
      <c r="I10" s="26" t="n"/>
      <c r="J10" s="26" t="n"/>
      <c r="K10" s="26" t="n"/>
    </row>
    <row r="11" ht="29.25" customHeight="1" s="31">
      <c r="A11" s="4" t="inlineStr">
        <is>
          <t>σ_log（对数正态，COST格）</t>
        </is>
      </c>
      <c r="B11" s="7" t="n">
        <v>0.5</v>
      </c>
      <c r="C11" s="7" t="n">
        <v>0.55</v>
      </c>
      <c r="D11" s="7" t="n">
        <v>0.5</v>
      </c>
      <c r="E11" s="27" t="inlineStr">
        <is>
          <t>对数正态形状参数；越大右偏越重</t>
        </is>
      </c>
      <c r="F11" s="26" t="n"/>
      <c r="G11" s="26" t="n"/>
      <c r="H11" s="26" t="n"/>
      <c r="I11" s="26" t="n"/>
      <c r="J11" s="26" t="n"/>
      <c r="K11" s="26" t="n"/>
    </row>
    <row r="13" ht="19.5" customHeight="1" s="31">
      <c r="A13" s="33" t="inlineStr">
        <is>
          <t>【C】Percentile——LOVOT ¥60,000 在各ToC格子WTP分布中的分位数（黄色可改）</t>
        </is>
      </c>
    </row>
    <row r="14" ht="15" customHeight="1" s="31">
      <c r="A14" s="28" t="inlineStr">
        <is>
          <t>格子</t>
        </is>
      </c>
      <c r="B14" s="6" t="inlineStr">
        <is>
          <t>Percentile</t>
        </is>
      </c>
      <c r="C14" s="28" t="inlineStr">
        <is>
          <t>分布类型</t>
        </is>
      </c>
      <c r="D14" s="28" t="inlineStr">
        <is>
          <t>说明</t>
        </is>
      </c>
      <c r="E14" s="26" t="n"/>
      <c r="F14" s="26" t="n"/>
      <c r="G14" s="26" t="n"/>
      <c r="H14" s="26" t="n"/>
      <c r="I14" s="26" t="n"/>
      <c r="J14" s="26" t="n"/>
      <c r="K14" s="29" t="n"/>
    </row>
    <row r="15" ht="15" customHeight="1" s="31">
      <c r="A15" s="2" t="inlineStr">
        <is>
          <t>ToC_DIFF_ELDER</t>
        </is>
      </c>
      <c r="B15" s="8" t="n">
        <v>0.97</v>
      </c>
      <c r="C15" s="9" t="inlineStr">
        <is>
          <t>正态</t>
        </is>
      </c>
      <c r="D15" s="34" t="inlineStr">
        <is>
          <t>97%分位→仅3%老年人负担得起LOVOT</t>
        </is>
      </c>
      <c r="E15" s="26" t="n"/>
      <c r="F15" s="26" t="n"/>
      <c r="G15" s="26" t="n"/>
      <c r="H15" s="26" t="n"/>
      <c r="I15" s="26" t="n"/>
      <c r="J15" s="26" t="n"/>
      <c r="K15" s="26" t="n"/>
    </row>
    <row r="16" ht="15" customHeight="1" s="31">
      <c r="A16" s="4" t="inlineStr">
        <is>
          <t>ToC_DIFF_ADULT</t>
        </is>
      </c>
      <c r="B16" s="8" t="n">
        <v>0.97</v>
      </c>
      <c r="C16" s="10" t="inlineStr">
        <is>
          <t>正态</t>
        </is>
      </c>
      <c r="D16" s="27" t="inlineStr">
        <is>
          <t>成年差异化市场</t>
        </is>
      </c>
      <c r="E16" s="26" t="n"/>
      <c r="F16" s="26" t="n"/>
      <c r="G16" s="26" t="n"/>
      <c r="H16" s="26" t="n"/>
      <c r="I16" s="26" t="n"/>
      <c r="J16" s="26" t="n"/>
      <c r="K16" s="26" t="n"/>
    </row>
    <row r="17" ht="15" customHeight="1" s="31">
      <c r="A17" s="2" t="inlineStr">
        <is>
          <t>ToC_DIFF_CHILD</t>
        </is>
      </c>
      <c r="B17" s="8" t="n">
        <v>0.97</v>
      </c>
      <c r="C17" s="9" t="inlineStr">
        <is>
          <t>正态</t>
        </is>
      </c>
      <c r="D17" s="25" t="inlineStr">
        <is>
          <t>儿童差异化（校准后统一97%）</t>
        </is>
      </c>
      <c r="E17" s="26" t="n"/>
      <c r="F17" s="26" t="n"/>
      <c r="G17" s="26" t="n"/>
      <c r="H17" s="26" t="n"/>
      <c r="I17" s="26" t="n"/>
      <c r="J17" s="26" t="n"/>
      <c r="K17" s="26" t="n"/>
    </row>
    <row r="18" ht="15" customHeight="1" s="31">
      <c r="A18" s="4" t="inlineStr">
        <is>
          <t>ToC_COST_ELDER</t>
        </is>
      </c>
      <c r="B18" s="8" t="n">
        <v>0.97</v>
      </c>
      <c r="C18" s="10" t="inlineStr">
        <is>
          <t>对数正态</t>
        </is>
      </c>
      <c r="D18" s="27" t="inlineStr">
        <is>
          <t>大众老年，93%分位</t>
        </is>
      </c>
      <c r="E18" s="26" t="n"/>
      <c r="F18" s="26" t="n"/>
      <c r="G18" s="26" t="n"/>
      <c r="H18" s="26" t="n"/>
      <c r="I18" s="26" t="n"/>
      <c r="J18" s="26" t="n"/>
      <c r="K18" s="26" t="n"/>
    </row>
    <row r="19" ht="15" customHeight="1" s="31">
      <c r="A19" s="2" t="inlineStr">
        <is>
          <t>ToC_COST_ADULT</t>
        </is>
      </c>
      <c r="B19" s="8" t="n">
        <v>0.97</v>
      </c>
      <c r="C19" s="9" t="inlineStr">
        <is>
          <t>对数正态</t>
        </is>
      </c>
      <c r="D19" s="25" t="inlineStr">
        <is>
          <t>大众成年，95%分位</t>
        </is>
      </c>
      <c r="E19" s="26" t="n"/>
      <c r="F19" s="26" t="n"/>
      <c r="G19" s="26" t="n"/>
      <c r="H19" s="26" t="n"/>
      <c r="I19" s="26" t="n"/>
      <c r="J19" s="26" t="n"/>
      <c r="K19" s="26" t="n"/>
    </row>
    <row r="20" ht="15" customHeight="1" s="31">
      <c r="A20" s="4" t="inlineStr">
        <is>
          <t>ToC_COST_CHILD</t>
        </is>
      </c>
      <c r="B20" s="8" t="n">
        <v>0.97</v>
      </c>
      <c r="C20" s="10" t="inlineStr">
        <is>
          <t>对数正态</t>
        </is>
      </c>
      <c r="D20" s="27" t="inlineStr">
        <is>
          <t>大众儿童（校准后统一97%）</t>
        </is>
      </c>
      <c r="E20" s="26" t="n"/>
      <c r="F20" s="26" t="n"/>
      <c r="G20" s="26" t="n"/>
      <c r="H20" s="26" t="n"/>
      <c r="I20" s="26" t="n"/>
      <c r="J20" s="26" t="n"/>
      <c r="K20" s="26" t="n"/>
    </row>
    <row r="22" ht="19.5" customHeight="1" s="31">
      <c r="A22" s="33" t="inlineStr">
        <is>
          <t>【D】N（覆盖人口，万人）&amp; Awareness（品类认知度）</t>
        </is>
      </c>
    </row>
    <row r="23" ht="15" customHeight="1" s="31">
      <c r="A23" s="28" t="inlineStr">
        <is>
          <t>细分</t>
        </is>
      </c>
      <c r="B23" s="6" t="inlineStr">
        <is>
          <t>N_DIFF（万人）</t>
        </is>
      </c>
      <c r="C23" s="6" t="inlineStr">
        <is>
          <t>N_COST（万人）</t>
        </is>
      </c>
      <c r="D23" s="28" t="inlineStr">
        <is>
          <t>Awareness</t>
        </is>
      </c>
      <c r="E23" t="inlineStr">
        <is>
          <t>friction</t>
        </is>
      </c>
      <c r="F23" t="inlineStr">
        <is>
          <t>f（渠道费率）</t>
        </is>
      </c>
      <c r="G23" t="inlineStr">
        <is>
          <t>说明</t>
        </is>
      </c>
    </row>
    <row r="24" ht="15" customHeight="1" s="31">
      <c r="A24" s="2" t="inlineStr">
        <is>
          <t>ToC_ELDER</t>
        </is>
      </c>
      <c r="B24" s="3" t="n">
        <v>1200</v>
      </c>
      <c r="C24" s="8" t="n">
        <v>2400</v>
      </c>
      <c r="D24" s="25" t="n">
        <v>0.16</v>
      </c>
      <c r="E24" t="n">
        <v>1</v>
      </c>
      <c r="F24" t="n">
        <v>0.25</v>
      </c>
      <c r="G24" t="inlineStr">
        <is>
          <t>城镇有消费力老年人口</t>
        </is>
      </c>
    </row>
    <row r="25" ht="15" customHeight="1" s="31">
      <c r="A25" s="4" t="inlineStr">
        <is>
          <t>ToC_ADULT</t>
        </is>
      </c>
      <c r="B25" s="3" t="n">
        <v>1800</v>
      </c>
      <c r="C25" s="8" t="n">
        <v>3600</v>
      </c>
      <c r="D25" s="27" t="n">
        <v>0.115</v>
      </c>
      <c r="E25" t="n">
        <v>1</v>
      </c>
      <c r="F25" t="n">
        <v>0.25</v>
      </c>
      <c r="G25" t="inlineStr">
        <is>
          <t>城镇中产成年人口</t>
        </is>
      </c>
    </row>
    <row r="26" ht="15" customHeight="1" s="31">
      <c r="A26" s="2" t="inlineStr">
        <is>
          <t>ToC_CHILD</t>
        </is>
      </c>
      <c r="B26" s="3" t="n">
        <v>1300</v>
      </c>
      <c r="C26" s="8" t="n">
        <v>2600</v>
      </c>
      <c r="D26" s="25" t="n">
        <v>0.17</v>
      </c>
      <c r="E26" t="n">
        <v>1</v>
      </c>
      <c r="F26" t="n">
        <v>0.25</v>
      </c>
      <c r="G26" t="inlineStr">
        <is>
          <t>城镇有娃家庭</t>
        </is>
      </c>
    </row>
    <row r="27" ht="15" customHeight="1" s="31">
      <c r="A27" s="4" t="inlineStr">
        <is>
          <t>ToB_ELDER</t>
        </is>
      </c>
      <c r="B27" s="3" t="n">
        <v>800</v>
      </c>
      <c r="C27" s="8" t="n">
        <v>1600</v>
      </c>
      <c r="D27" s="27" t="n">
        <v>0.22</v>
      </c>
      <c r="E27" t="n">
        <v>0.8667</v>
      </c>
      <c r="F27" t="n">
        <v>0.15</v>
      </c>
      <c r="G27" t="inlineStr">
        <is>
          <t>养老机构覆盖人口</t>
        </is>
      </c>
    </row>
    <row r="28" ht="15" customHeight="1" s="31">
      <c r="A28" s="2" t="inlineStr">
        <is>
          <t>ToB_ADULT</t>
        </is>
      </c>
      <c r="B28" s="3" t="n">
        <v>1500</v>
      </c>
      <c r="C28" s="8" t="n">
        <v>3000</v>
      </c>
      <c r="D28" s="25" t="n">
        <v>0.12</v>
      </c>
      <c r="E28" t="n">
        <v>0.65</v>
      </c>
      <c r="F28" t="n">
        <v>0.15</v>
      </c>
      <c r="G28" t="inlineStr">
        <is>
          <t>企业/酒店/服务场景覆盖人口</t>
        </is>
      </c>
    </row>
    <row r="29" ht="15" customHeight="1" s="31">
      <c r="A29" s="4" t="inlineStr">
        <is>
          <t>ToB_CHILD</t>
        </is>
      </c>
      <c r="B29" s="3" t="n">
        <v>1000</v>
      </c>
      <c r="C29" s="8" t="n">
        <v>2000</v>
      </c>
      <c r="D29" s="27" t="n">
        <v>0.19</v>
      </c>
      <c r="E29" t="n">
        <v>1</v>
      </c>
      <c r="F29" t="n">
        <v>0.15</v>
      </c>
      <c r="G29" t="inlineStr">
        <is>
          <t>学校/教培覆盖儿童</t>
        </is>
      </c>
    </row>
    <row r="31" ht="19.5" customHeight="1" s="31">
      <c r="A31" s="33" t="inlineStr">
        <is>
          <t>【E】计算结果——绿色底色为Excel公式，修改上方参数后自动更新</t>
        </is>
      </c>
    </row>
    <row r="32" ht="36" customHeight="1" s="31">
      <c r="A32" s="28" t="inlineStr">
        <is>
          <t>格子</t>
        </is>
      </c>
      <c r="B32" s="28" t="inlineStr">
        <is>
          <t>分布类型</t>
        </is>
      </c>
      <c r="C32" s="6" t="inlineStr">
        <is>
          <t>Percentile</t>
        </is>
      </c>
      <c r="D32" s="6" t="inlineStr">
        <is>
          <t>cv / σ_log</t>
        </is>
      </c>
      <c r="E32" s="6" t="inlineStr">
        <is>
          <t>WTP mean（元）
（DIFF=μ，COST=exp(μ_log+σ²/2)）</t>
        </is>
      </c>
      <c r="F32" s="6" t="inlineStr">
        <is>
          <t>ToB WTP
mean（元）</t>
        </is>
      </c>
      <c r="G32" s="6" t="inlineStr">
        <is>
          <t>B端mean
计算方式</t>
        </is>
      </c>
      <c r="H32" s="6" t="inlineStr">
        <is>
          <t>N（万人）</t>
        </is>
      </c>
      <c r="I32" s="6" t="inlineStr">
        <is>
          <t>Awareness</t>
        </is>
      </c>
      <c r="J32" s="6" t="inlineStr">
        <is>
          <t>SAM（亿元）</t>
        </is>
      </c>
      <c r="K32" s="28" t="inlineStr">
        <is>
          <t>备注</t>
        </is>
      </c>
    </row>
    <row r="33" ht="15" customHeight="1" s="31">
      <c r="A33" s="4" t="inlineStr">
        <is>
          <t>ToC_DIFF_ELDER</t>
        </is>
      </c>
      <c r="B33" s="10" t="inlineStr">
        <is>
          <t>正态</t>
        </is>
      </c>
      <c r="C33" s="11">
        <f>B15</f>
        <v/>
      </c>
      <c r="D33" s="12">
        <f>B10</f>
        <v/>
      </c>
      <c r="E33" s="13">
        <f>$B5/(1+B10*NORMINV(B15,0,1))</f>
        <v/>
      </c>
      <c r="F33" s="14" t="inlineStr">
        <is>
          <t>—</t>
        </is>
      </c>
      <c r="G33" s="14" t="inlineStr">
        <is>
          <t>—</t>
        </is>
      </c>
      <c r="H33" s="15">
        <f>B24</f>
        <v/>
      </c>
      <c r="I33" s="11">
        <f>D24</f>
        <v/>
      </c>
      <c r="J33" s="16">
        <f>H33*I33*E33/10000</f>
        <v/>
      </c>
      <c r="K33" s="4" t="inlineStr">
        <is>
          <t>DIFF: N小×WTP高</t>
        </is>
      </c>
    </row>
    <row r="34" ht="15" customHeight="1" s="31">
      <c r="A34" s="2" t="inlineStr">
        <is>
          <t>ToC_DIFF_ADULT</t>
        </is>
      </c>
      <c r="B34" s="9" t="inlineStr">
        <is>
          <t>正态</t>
        </is>
      </c>
      <c r="C34" s="17">
        <f>B16</f>
        <v/>
      </c>
      <c r="D34" s="18">
        <f>C10</f>
        <v/>
      </c>
      <c r="E34" s="13">
        <f>$B5/(1+C10*NORMINV(B16,0,1))</f>
        <v/>
      </c>
      <c r="F34" s="19" t="inlineStr">
        <is>
          <t>—</t>
        </is>
      </c>
      <c r="G34" s="19" t="inlineStr">
        <is>
          <t>—</t>
        </is>
      </c>
      <c r="H34" s="20">
        <f>B25</f>
        <v/>
      </c>
      <c r="I34" s="17">
        <f>D25</f>
        <v/>
      </c>
      <c r="J34" s="16">
        <f>H34*I34*E34/10000</f>
        <v/>
      </c>
      <c r="K34" s="2" t="inlineStr">
        <is>
          <t>DIFF: N小×WTP高</t>
        </is>
      </c>
    </row>
    <row r="35" ht="15" customHeight="1" s="31">
      <c r="A35" s="4" t="inlineStr">
        <is>
          <t>ToC_DIFF_CHILD</t>
        </is>
      </c>
      <c r="B35" s="10" t="inlineStr">
        <is>
          <t>正态</t>
        </is>
      </c>
      <c r="C35" s="11">
        <f>B17</f>
        <v/>
      </c>
      <c r="D35" s="12">
        <f>D10</f>
        <v/>
      </c>
      <c r="E35" s="13">
        <f>$B5/(1+D10*NORMINV(B17,0,1))</f>
        <v/>
      </c>
      <c r="F35" s="14" t="inlineStr">
        <is>
          <t>—</t>
        </is>
      </c>
      <c r="G35" s="14" t="inlineStr">
        <is>
          <t>—</t>
        </is>
      </c>
      <c r="H35" s="15">
        <f>B26</f>
        <v/>
      </c>
      <c r="I35" s="11">
        <f>D26</f>
        <v/>
      </c>
      <c r="J35" s="16">
        <f>H35*I35*E35/10000</f>
        <v/>
      </c>
      <c r="K35" s="4" t="inlineStr">
        <is>
          <t>DIFF: N小×WTP高</t>
        </is>
      </c>
    </row>
    <row r="36" ht="15" customHeight="1" s="31">
      <c r="A36" s="2" t="inlineStr">
        <is>
          <t>ToC_COST_ELDER</t>
        </is>
      </c>
      <c r="B36" s="9" t="inlineStr">
        <is>
          <t>对数正态</t>
        </is>
      </c>
      <c r="C36" s="17">
        <f>B18</f>
        <v/>
      </c>
      <c r="D36" s="18">
        <f>B11</f>
        <v/>
      </c>
      <c r="E36" s="13">
        <f>EXP(LN($B$5)-B11*NORMINV(B18,0,1)+B11^2/2)</f>
        <v/>
      </c>
      <c r="F36" s="19" t="inlineStr">
        <is>
          <t>—</t>
        </is>
      </c>
      <c r="G36" s="19" t="inlineStr">
        <is>
          <t>—</t>
        </is>
      </c>
      <c r="H36" s="20">
        <f>C24</f>
        <v/>
      </c>
      <c r="I36" s="17">
        <f>D24</f>
        <v/>
      </c>
      <c r="J36" s="16">
        <f>H36*I36*E36/10000</f>
        <v/>
      </c>
      <c r="K36" s="2" t="inlineStr">
        <is>
          <t>COST: N大×WTP低</t>
        </is>
      </c>
    </row>
    <row r="37" ht="15" customHeight="1" s="31">
      <c r="A37" s="4" t="inlineStr">
        <is>
          <t>ToC_COST_ADULT</t>
        </is>
      </c>
      <c r="B37" s="10" t="inlineStr">
        <is>
          <t>对数正态</t>
        </is>
      </c>
      <c r="C37" s="11">
        <f>B19</f>
        <v/>
      </c>
      <c r="D37" s="12">
        <f>C11</f>
        <v/>
      </c>
      <c r="E37" s="13">
        <f>EXP(LN($B$5)-C11*NORMINV(B19,0,1)+C11^2/2)</f>
        <v/>
      </c>
      <c r="F37" s="14" t="inlineStr">
        <is>
          <t>—</t>
        </is>
      </c>
      <c r="G37" s="14" t="inlineStr">
        <is>
          <t>—</t>
        </is>
      </c>
      <c r="H37" s="15">
        <f>C25</f>
        <v/>
      </c>
      <c r="I37" s="11">
        <f>D25</f>
        <v/>
      </c>
      <c r="J37" s="16">
        <f>H37*I37*E37/10000</f>
        <v/>
      </c>
      <c r="K37" s="4" t="inlineStr">
        <is>
          <t>COST: N大×WTP低</t>
        </is>
      </c>
    </row>
    <row r="38" ht="15" customHeight="1" s="31">
      <c r="A38" s="2" t="inlineStr">
        <is>
          <t>ToC_COST_CHILD</t>
        </is>
      </c>
      <c r="B38" s="9" t="inlineStr">
        <is>
          <t>对数正态</t>
        </is>
      </c>
      <c r="C38" s="17">
        <f>B20</f>
        <v/>
      </c>
      <c r="D38" s="18">
        <f>D11</f>
        <v/>
      </c>
      <c r="E38" s="13">
        <f>EXP(LN($B$5)-D11*NORMINV(B20,0,1)+D11^2/2)</f>
        <v/>
      </c>
      <c r="F38" s="19" t="inlineStr">
        <is>
          <t>—</t>
        </is>
      </c>
      <c r="G38" s="19" t="inlineStr">
        <is>
          <t>—</t>
        </is>
      </c>
      <c r="H38" s="20">
        <f>C26</f>
        <v/>
      </c>
      <c r="I38" s="17">
        <f>D26</f>
        <v/>
      </c>
      <c r="J38" s="16">
        <f>H38*I38*E38/10000</f>
        <v/>
      </c>
      <c r="K38" s="2" t="inlineStr">
        <is>
          <t>COST: N大×WTP低</t>
        </is>
      </c>
    </row>
    <row r="39" ht="6" customHeight="1" s="31"/>
    <row r="40" ht="15" customHeight="1" s="31">
      <c r="A40" s="2" t="inlineStr">
        <is>
          <t>ToB_DIFF_ELDER</t>
        </is>
      </c>
      <c r="B40" s="9" t="inlineStr">
        <is>
          <t>正态(阶梯)</t>
        </is>
      </c>
      <c r="C40" s="17">
        <f>B15</f>
        <v/>
      </c>
      <c r="D40" s="18">
        <f>B10</f>
        <v/>
      </c>
      <c r="E40" s="13">
        <f>$B5/(1+B10*NORMINV(B15,0,1))</f>
        <v/>
      </c>
      <c r="F40" s="13">
        <f>AVERAGEIF(Aux!D3:D102,"&lt;&gt;")</f>
        <v/>
      </c>
      <c r="G40" s="21">
        <f>B6&amp;"buckets上限均值"</f>
        <v/>
      </c>
      <c r="H40" s="20">
        <f>B27</f>
        <v/>
      </c>
      <c r="I40" s="17">
        <f>D27</f>
        <v/>
      </c>
      <c r="J40" s="16">
        <f>H40*I40*F40/10000</f>
        <v/>
      </c>
      <c r="K40" s="2" t="inlineStr">
        <is>
          <t>B端=每bucket上限均值</t>
        </is>
      </c>
    </row>
    <row r="41" ht="15" customHeight="1" s="31">
      <c r="A41" s="4" t="inlineStr">
        <is>
          <t>ToB_DIFF_ADULT</t>
        </is>
      </c>
      <c r="B41" s="10" t="inlineStr">
        <is>
          <t>正态(阶梯)</t>
        </is>
      </c>
      <c r="C41" s="11">
        <f>B16</f>
        <v/>
      </c>
      <c r="D41" s="12">
        <f>C10</f>
        <v/>
      </c>
      <c r="E41" s="13">
        <f>$B5/(1+C10*NORMINV(B16,0,1))</f>
        <v/>
      </c>
      <c r="F41" s="13">
        <f>AVERAGEIF(Aux!E3:E102,"&lt;&gt;")</f>
        <v/>
      </c>
      <c r="G41" s="21">
        <f>B6&amp;"buckets上限均值"</f>
        <v/>
      </c>
      <c r="H41" s="15">
        <f>B28</f>
        <v/>
      </c>
      <c r="I41" s="11">
        <f>D28</f>
        <v/>
      </c>
      <c r="J41" s="16">
        <f>H41*I41*F41/10000</f>
        <v/>
      </c>
      <c r="K41" s="4" t="inlineStr">
        <is>
          <t>B端=每bucket上限均值</t>
        </is>
      </c>
    </row>
    <row r="42" ht="15" customHeight="1" s="31">
      <c r="A42" s="2" t="inlineStr">
        <is>
          <t>ToB_DIFF_CHILD</t>
        </is>
      </c>
      <c r="B42" s="9" t="inlineStr">
        <is>
          <t>正态(阶梯)</t>
        </is>
      </c>
      <c r="C42" s="17">
        <f>B17</f>
        <v/>
      </c>
      <c r="D42" s="18">
        <f>D10</f>
        <v/>
      </c>
      <c r="E42" s="13">
        <f>$B5/(1+D10*NORMINV(B17,0,1))</f>
        <v/>
      </c>
      <c r="F42" s="13">
        <f>AVERAGEIF(Aux!F3:F102,"&lt;&gt;")</f>
        <v/>
      </c>
      <c r="G42" s="21">
        <f>B6&amp;"buckets上限均值"</f>
        <v/>
      </c>
      <c r="H42" s="20">
        <f>B29</f>
        <v/>
      </c>
      <c r="I42" s="17">
        <f>D29</f>
        <v/>
      </c>
      <c r="J42" s="16">
        <f>H42*I42*F42/10000</f>
        <v/>
      </c>
      <c r="K42" s="2" t="inlineStr">
        <is>
          <t>B端=每bucket上限均值</t>
        </is>
      </c>
    </row>
    <row r="43" ht="15" customHeight="1" s="31">
      <c r="A43" s="4" t="inlineStr">
        <is>
          <t>ToB_COST_ELDER</t>
        </is>
      </c>
      <c r="B43" s="10" t="inlineStr">
        <is>
          <t>对数正态(阶梯)</t>
        </is>
      </c>
      <c r="C43" s="11">
        <f>B18</f>
        <v/>
      </c>
      <c r="D43" s="12">
        <f>B11</f>
        <v/>
      </c>
      <c r="E43" s="13">
        <f>EXP(LN($B$5)-B11*NORMINV(B18,0,1)+B11^2/2)</f>
        <v/>
      </c>
      <c r="F43" s="13">
        <f>AVERAGEIF(Aux!G3:G102,"&lt;&gt;")</f>
        <v/>
      </c>
      <c r="G43" s="21">
        <f>B6&amp;"buckets上限均值"</f>
        <v/>
      </c>
      <c r="H43" s="15">
        <f>C27</f>
        <v/>
      </c>
      <c r="I43" s="11">
        <f>D27</f>
        <v/>
      </c>
      <c r="J43" s="16">
        <f>H43*I43*F43/10000</f>
        <v/>
      </c>
      <c r="K43" s="4" t="inlineStr">
        <is>
          <t>B端=每bucket上限均值</t>
        </is>
      </c>
    </row>
    <row r="44" ht="15" customHeight="1" s="31">
      <c r="A44" s="2" t="inlineStr">
        <is>
          <t>ToB_COST_ADULT</t>
        </is>
      </c>
      <c r="B44" s="9" t="inlineStr">
        <is>
          <t>对数正态(阶梯)</t>
        </is>
      </c>
      <c r="C44" s="17">
        <f>B19</f>
        <v/>
      </c>
      <c r="D44" s="18">
        <f>C11</f>
        <v/>
      </c>
      <c r="E44" s="13">
        <f>EXP(LN($B$5)-C11*NORMINV(B19,0,1)+C11^2/2)</f>
        <v/>
      </c>
      <c r="F44" s="13">
        <f>AVERAGEIF(Aux!H3:H102,"&lt;&gt;")</f>
        <v/>
      </c>
      <c r="G44" s="21">
        <f>B6&amp;"buckets上限均值"</f>
        <v/>
      </c>
      <c r="H44" s="20">
        <f>C28</f>
        <v/>
      </c>
      <c r="I44" s="17">
        <f>D28</f>
        <v/>
      </c>
      <c r="J44" s="16">
        <f>H44*I44*F44/10000</f>
        <v/>
      </c>
      <c r="K44" s="2" t="inlineStr">
        <is>
          <t>B端=每bucket上限均值</t>
        </is>
      </c>
    </row>
    <row r="45" ht="15" customHeight="1" s="31">
      <c r="A45" s="4" t="inlineStr">
        <is>
          <t>ToB_COST_CHILD</t>
        </is>
      </c>
      <c r="B45" s="10" t="inlineStr">
        <is>
          <t>对数正态(阶梯)</t>
        </is>
      </c>
      <c r="C45" s="11">
        <f>B20</f>
        <v/>
      </c>
      <c r="D45" s="12">
        <f>D11</f>
        <v/>
      </c>
      <c r="E45" s="13">
        <f>EXP(LN($B$5)-D11*NORMINV(B20,0,1)+D11^2/2)</f>
        <v/>
      </c>
      <c r="F45" s="13">
        <f>AVERAGEIF(Aux!I3:I102,"&lt;&gt;")</f>
        <v/>
      </c>
      <c r="G45" s="21">
        <f>B6&amp;"buckets上限均值"</f>
        <v/>
      </c>
      <c r="H45" s="15">
        <f>C29</f>
        <v/>
      </c>
      <c r="I45" s="11">
        <f>D29</f>
        <v/>
      </c>
      <c r="J45" s="16">
        <f>H45*I45*F45/10000</f>
        <v/>
      </c>
      <c r="K45" s="4" t="inlineStr">
        <is>
          <t>B端=每bucket上限均值</t>
        </is>
      </c>
    </row>
    <row r="47">
      <c r="A47" t="inlineStr">
        <is>
          <t>【F】Round 2 成本参数</t>
        </is>
      </c>
    </row>
    <row r="48" ht="13.5" customHeight="1" s="31">
      <c r="A48" s="30" t="inlineStr">
        <is>
          <t>参数</t>
        </is>
      </c>
      <c r="B48" t="inlineStr">
        <is>
          <t>值</t>
        </is>
      </c>
      <c r="C48" t="inlineStr">
        <is>
          <t>说明</t>
        </is>
      </c>
    </row>
    <row r="49">
      <c r="A49" t="inlineStr">
        <is>
          <t>V（变动成本，元/台）</t>
        </is>
      </c>
      <c r="B49" t="n">
        <v>4200</v>
      </c>
      <c r="C49" t="inlineStr">
        <is>
          <t>材料+组装+包装+测试</t>
        </is>
      </c>
    </row>
    <row r="50">
      <c r="A50" t="inlineStr">
        <is>
          <t>F（固定成本，万元）</t>
        </is>
      </c>
      <c r="B50" t="n">
        <v>500</v>
      </c>
      <c r="C50" t="inlineStr">
        <is>
          <t>开模+基础研发+产线搭建（校准后）</t>
        </is>
      </c>
    </row>
    <row r="51">
      <c r="A51" t="inlineStr">
        <is>
          <t>S_monthly（订阅月费，元）</t>
        </is>
      </c>
      <c r="B51" t="n">
        <v>99</v>
      </c>
      <c r="C51" t="inlineStr">
        <is>
          <t>订阅服务月费</t>
        </is>
      </c>
    </row>
    <row r="52">
      <c r="A52" t="inlineStr">
        <is>
          <t>gm_sub（订阅毛利率）</t>
        </is>
      </c>
      <c r="B52" t="n">
        <v>0.7</v>
      </c>
      <c r="C52" t="inlineStr">
        <is>
          <t>订阅服务毛利率</t>
        </is>
      </c>
    </row>
    <row r="53">
      <c r="A53" t="inlineStr">
        <is>
          <t>T（平均订阅月数）</t>
        </is>
      </c>
      <c r="B53" t="n">
        <v>24</v>
      </c>
      <c r="C53" t="inlineStr">
        <is>
          <t>平均订阅时长</t>
        </is>
      </c>
    </row>
    <row r="54">
      <c r="A54" t="inlineStr">
        <is>
          <t>校准后 Logit 参数</t>
        </is>
      </c>
    </row>
    <row r="55">
      <c r="A55" t="inlineStr">
        <is>
          <t>α（截距）</t>
        </is>
      </c>
      <c r="B55" t="n">
        <v>-9</v>
      </c>
    </row>
    <row r="56">
      <c r="A56" t="inlineStr">
        <is>
          <t>wI（访谈信号）</t>
        </is>
      </c>
      <c r="B56" t="n">
        <v>5.4</v>
      </c>
    </row>
    <row r="57">
      <c r="A57" t="inlineStr">
        <is>
          <t>wfit（定位命中）</t>
        </is>
      </c>
      <c r="B57" t="n">
        <v>6</v>
      </c>
    </row>
    <row r="58">
      <c r="A58" t="inlineStr">
        <is>
          <t>wsub（订阅贡献）</t>
        </is>
      </c>
      <c r="B58" t="n">
        <v>0.5</v>
      </c>
    </row>
    <row r="59">
      <c r="A59" t="inlineStr">
        <is>
          <t>wrisk（风险惩罚）</t>
        </is>
      </c>
      <c r="B59" t="n">
        <v>-1</v>
      </c>
    </row>
    <row r="60">
      <c r="A60" t="inlineStr">
        <is>
          <t>wcx（复杂度惩罚）</t>
        </is>
      </c>
      <c r="B60" t="n">
        <v>-0.5</v>
      </c>
    </row>
    <row r="61">
      <c r="A61" t="inlineStr">
        <is>
          <t>μ（γ变换，DIFF only）</t>
        </is>
      </c>
      <c r="B61" t="n">
        <v>1.8889</v>
      </c>
    </row>
    <row r="63">
      <c r="A63" t="inlineStr">
        <is>
          <t>COGSbase(Q) = V + F×10000/Q | γ_eff(DIFF) = γ_raw/(1+μ×Vscore) | γ_eff(COST) = γ_raw</t>
        </is>
      </c>
    </row>
  </sheetData>
  <mergeCells count="18">
    <mergeCell ref="D20:K20"/>
    <mergeCell ref="D17:K17"/>
    <mergeCell ref="A3:K3"/>
    <mergeCell ref="C5:K5"/>
    <mergeCell ref="E9:K9"/>
    <mergeCell ref="D15:K15"/>
    <mergeCell ref="D19:K19"/>
    <mergeCell ref="D16:K16"/>
    <mergeCell ref="A1:K1"/>
    <mergeCell ref="A8:K8"/>
    <mergeCell ref="D14:K14"/>
    <mergeCell ref="A13:K13"/>
    <mergeCell ref="E10:K10"/>
    <mergeCell ref="C4:K4"/>
    <mergeCell ref="C6:K6"/>
    <mergeCell ref="A31:K31"/>
    <mergeCell ref="E11:K11"/>
    <mergeCell ref="D18:K18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zoomScaleNormal="100" workbookViewId="0">
      <selection activeCell="A1" sqref="A1"/>
    </sheetView>
  </sheetViews>
  <sheetFormatPr baseColWidth="10" defaultColWidth="8.6640625" defaultRowHeight="15"/>
  <cols>
    <col width="10" customWidth="1" style="31" min="1" max="1"/>
    <col width="12" customWidth="1" style="31" min="2" max="2"/>
    <col width="16" customWidth="1" style="31" min="3" max="9"/>
  </cols>
  <sheetData>
    <row r="1" ht="16.5" customHeight="1" s="31">
      <c r="A1" s="22" t="inlineStr">
        <is>
          <t>辅助计算：B端bucket上限价格（动态，随Params!B6的N_STEPS自动更新）</t>
        </is>
      </c>
    </row>
    <row r="2" ht="15" customHeight="1" s="31">
      <c r="A2" s="23" t="inlineStr">
        <is>
          <t>bucket i</t>
        </is>
      </c>
      <c r="B2" s="23" t="inlineStr">
        <is>
          <t>hi_p</t>
        </is>
      </c>
      <c r="C2" s="23" t="inlineStr">
        <is>
          <t>z=NORMINV(hi_p)</t>
        </is>
      </c>
      <c r="D2" s="23" t="inlineStr">
        <is>
          <t>ToB_DIFF_ELDER</t>
        </is>
      </c>
      <c r="E2" s="23" t="inlineStr">
        <is>
          <t>ToB_DIFF_ADULT</t>
        </is>
      </c>
      <c r="F2" s="23" t="inlineStr">
        <is>
          <t>ToB_DIFF_CHILD</t>
        </is>
      </c>
      <c r="G2" s="23" t="inlineStr">
        <is>
          <t>ToB_COST_ELDER</t>
        </is>
      </c>
      <c r="H2" s="23" t="inlineStr">
        <is>
          <t>ToB_COST_ADULT</t>
        </is>
      </c>
      <c r="I2" s="23" t="inlineStr">
        <is>
          <t>ToB_COST_CHILD</t>
        </is>
      </c>
    </row>
    <row r="3" ht="15" customHeight="1" s="31">
      <c r="A3" t="n">
        <v>1</v>
      </c>
      <c r="B3">
        <f>IF(A3&lt;=Params!$B$6, MIN(A3/Params!$B$6, 0.9999), "")</f>
        <v/>
      </c>
      <c r="C3">
        <f>IF(B3="", "", NORMINV(B3,0,1))</f>
        <v/>
      </c>
      <c r="D3">
        <f>IF(C3="","",(Params!$B$5/(1+Params!$B$10*NORMINV(Params!$B$15,0,1)))*(1+Params!$B$10*C3))</f>
        <v/>
      </c>
      <c r="E3">
        <f>IF(C3="","",(Params!$B$5/(1+Params!$C$10*NORMINV(Params!$B$16,0,1)))*(1+Params!$C$10*C3))</f>
        <v/>
      </c>
      <c r="F3">
        <f>IF(C3="","",(Params!$B$5/(1+Params!$D$10*NORMINV(Params!$B$17,0,1)))*(1+Params!$D$10*C3))</f>
        <v/>
      </c>
      <c r="G3">
        <f>IF(C3="","",EXP(LN(Params!$B$5)-Params!$B$11*NORMINV(Params!$B$18,0,1)+Params!$B$11*C3))</f>
        <v/>
      </c>
      <c r="H3">
        <f>IF(C3="","",EXP(LN(Params!$B$5)-Params!$C$11*NORMINV(Params!$B$19,0,1)+Params!$C$11*C3))</f>
        <v/>
      </c>
      <c r="I3">
        <f>IF(C3="","",EXP(LN(Params!$B$5)-Params!$D$11*NORMINV(Params!$B$20,0,1)+Params!$D$11*C3))</f>
        <v/>
      </c>
    </row>
    <row r="4" ht="15" customHeight="1" s="31">
      <c r="A4" s="24" t="n">
        <v>2</v>
      </c>
      <c r="B4" s="24">
        <f>IF(A4&lt;=Params!$B$6, MIN(A4/Params!$B$6, 0.9999), "")</f>
        <v/>
      </c>
      <c r="C4" s="24">
        <f>IF(B4="", "", NORMINV(B4,0,1))</f>
        <v/>
      </c>
      <c r="D4" s="24">
        <f>IF(C4="","",(Params!$B$5/(1+Params!$B$10*NORMINV(Params!$B$15,0,1)))*(1+Params!$B$10*C4))</f>
        <v/>
      </c>
      <c r="E4" s="24">
        <f>IF(C4="","",(Params!$B$5/(1+Params!$C$10*NORMINV(Params!$B$16,0,1)))*(1+Params!$C$10*C4))</f>
        <v/>
      </c>
      <c r="F4" s="24">
        <f>IF(C4="","",(Params!$B$5/(1+Params!$D$10*NORMINV(Params!$B$17,0,1)))*(1+Params!$D$10*C4))</f>
        <v/>
      </c>
      <c r="G4" s="24">
        <f>IF(C4="","",EXP(LN(Params!$B$5)-Params!$B$11*NORMINV(Params!$B$18,0,1)+Params!$B$11*C4))</f>
        <v/>
      </c>
      <c r="H4" s="24">
        <f>IF(C4="","",EXP(LN(Params!$B$5)-Params!$C$11*NORMINV(Params!$B$19,0,1)+Params!$C$11*C4))</f>
        <v/>
      </c>
      <c r="I4" s="24">
        <f>IF(C4="","",EXP(LN(Params!$B$5)-Params!$D$11*NORMINV(Params!$B$20,0,1)+Params!$D$11*C4))</f>
        <v/>
      </c>
    </row>
    <row r="5" ht="15" customHeight="1" s="31">
      <c r="A5" t="n">
        <v>3</v>
      </c>
      <c r="B5">
        <f>IF(A5&lt;=Params!$B$6, MIN(A5/Params!$B$6, 0.9999), "")</f>
        <v/>
      </c>
      <c r="C5">
        <f>IF(B5="", "", NORMINV(B5,0,1))</f>
        <v/>
      </c>
      <c r="D5">
        <f>IF(C5="","",(Params!$B$5/(1+Params!$B$10*NORMINV(Params!$B$15,0,1)))*(1+Params!$B$10*C5))</f>
        <v/>
      </c>
      <c r="E5">
        <f>IF(C5="","",(Params!$B$5/(1+Params!$C$10*NORMINV(Params!$B$16,0,1)))*(1+Params!$C$10*C5))</f>
        <v/>
      </c>
      <c r="F5">
        <f>IF(C5="","",(Params!$B$5/(1+Params!$D$10*NORMINV(Params!$B$17,0,1)))*(1+Params!$D$10*C5))</f>
        <v/>
      </c>
      <c r="G5">
        <f>IF(C5="","",EXP(LN(Params!$B$5)-Params!$B$11*NORMINV(Params!$B$18,0,1)+Params!$B$11*C5))</f>
        <v/>
      </c>
      <c r="H5">
        <f>IF(C5="","",EXP(LN(Params!$B$5)-Params!$C$11*NORMINV(Params!$B$19,0,1)+Params!$C$11*C5))</f>
        <v/>
      </c>
      <c r="I5">
        <f>IF(C5="","",EXP(LN(Params!$B$5)-Params!$D$11*NORMINV(Params!$B$20,0,1)+Params!$D$11*C5))</f>
        <v/>
      </c>
    </row>
    <row r="6" ht="15" customHeight="1" s="31">
      <c r="A6" s="24" t="n">
        <v>4</v>
      </c>
      <c r="B6" s="24">
        <f>IF(A6&lt;=Params!$B$6, MIN(A6/Params!$B$6, 0.9999), "")</f>
        <v/>
      </c>
      <c r="C6" s="24">
        <f>IF(B6="", "", NORMINV(B6,0,1))</f>
        <v/>
      </c>
      <c r="D6" s="24">
        <f>IF(C6="","",(Params!$B$5/(1+Params!$B$10*NORMINV(Params!$B$15,0,1)))*(1+Params!$B$10*C6))</f>
        <v/>
      </c>
      <c r="E6" s="24">
        <f>IF(C6="","",(Params!$B$5/(1+Params!$C$10*NORMINV(Params!$B$16,0,1)))*(1+Params!$C$10*C6))</f>
        <v/>
      </c>
      <c r="F6" s="24">
        <f>IF(C6="","",(Params!$B$5/(1+Params!$D$10*NORMINV(Params!$B$17,0,1)))*(1+Params!$D$10*C6))</f>
        <v/>
      </c>
      <c r="G6" s="24">
        <f>IF(C6="","",EXP(LN(Params!$B$5)-Params!$B$11*NORMINV(Params!$B$18,0,1)+Params!$B$11*C6))</f>
        <v/>
      </c>
      <c r="H6" s="24">
        <f>IF(C6="","",EXP(LN(Params!$B$5)-Params!$C$11*NORMINV(Params!$B$19,0,1)+Params!$C$11*C6))</f>
        <v/>
      </c>
      <c r="I6" s="24">
        <f>IF(C6="","",EXP(LN(Params!$B$5)-Params!$D$11*NORMINV(Params!$B$20,0,1)+Params!$D$11*C6))</f>
        <v/>
      </c>
    </row>
    <row r="7" ht="15" customHeight="1" s="31">
      <c r="A7" t="n">
        <v>5</v>
      </c>
      <c r="B7">
        <f>IF(A7&lt;=Params!$B$6, MIN(A7/Params!$B$6, 0.9999), "")</f>
        <v/>
      </c>
      <c r="C7">
        <f>IF(B7="", "", NORMINV(B7,0,1))</f>
        <v/>
      </c>
      <c r="D7">
        <f>IF(C7="","",(Params!$B$5/(1+Params!$B$10*NORMINV(Params!$B$15,0,1)))*(1+Params!$B$10*C7))</f>
        <v/>
      </c>
      <c r="E7">
        <f>IF(C7="","",(Params!$B$5/(1+Params!$C$10*NORMINV(Params!$B$16,0,1)))*(1+Params!$C$10*C7))</f>
        <v/>
      </c>
      <c r="F7">
        <f>IF(C7="","",(Params!$B$5/(1+Params!$D$10*NORMINV(Params!$B$17,0,1)))*(1+Params!$D$10*C7))</f>
        <v/>
      </c>
      <c r="G7">
        <f>IF(C7="","",EXP(LN(Params!$B$5)-Params!$B$11*NORMINV(Params!$B$18,0,1)+Params!$B$11*C7))</f>
        <v/>
      </c>
      <c r="H7">
        <f>IF(C7="","",EXP(LN(Params!$B$5)-Params!$C$11*NORMINV(Params!$B$19,0,1)+Params!$C$11*C7))</f>
        <v/>
      </c>
      <c r="I7">
        <f>IF(C7="","",EXP(LN(Params!$B$5)-Params!$D$11*NORMINV(Params!$B$20,0,1)+Params!$D$11*C7))</f>
        <v/>
      </c>
    </row>
    <row r="8" ht="15" customHeight="1" s="31">
      <c r="A8" s="24" t="n">
        <v>6</v>
      </c>
      <c r="B8" s="24">
        <f>IF(A8&lt;=Params!$B$6, MIN(A8/Params!$B$6, 0.9999), "")</f>
        <v/>
      </c>
      <c r="C8" s="24">
        <f>IF(B8="", "", NORMINV(B8,0,1))</f>
        <v/>
      </c>
      <c r="D8" s="24">
        <f>IF(C8="","",(Params!$B$5/(1+Params!$B$10*NORMINV(Params!$B$15,0,1)))*(1+Params!$B$10*C8))</f>
        <v/>
      </c>
      <c r="E8" s="24">
        <f>IF(C8="","",(Params!$B$5/(1+Params!$C$10*NORMINV(Params!$B$16,0,1)))*(1+Params!$C$10*C8))</f>
        <v/>
      </c>
      <c r="F8" s="24">
        <f>IF(C8="","",(Params!$B$5/(1+Params!$D$10*NORMINV(Params!$B$17,0,1)))*(1+Params!$D$10*C8))</f>
        <v/>
      </c>
      <c r="G8" s="24">
        <f>IF(C8="","",EXP(LN(Params!$B$5)-Params!$B$11*NORMINV(Params!$B$18,0,1)+Params!$B$11*C8))</f>
        <v/>
      </c>
      <c r="H8" s="24">
        <f>IF(C8="","",EXP(LN(Params!$B$5)-Params!$C$11*NORMINV(Params!$B$19,0,1)+Params!$C$11*C8))</f>
        <v/>
      </c>
      <c r="I8" s="24">
        <f>IF(C8="","",EXP(LN(Params!$B$5)-Params!$D$11*NORMINV(Params!$B$20,0,1)+Params!$D$11*C8))</f>
        <v/>
      </c>
    </row>
    <row r="9" ht="15" customHeight="1" s="31">
      <c r="A9" t="n">
        <v>7</v>
      </c>
      <c r="B9">
        <f>IF(A9&lt;=Params!$B$6, MIN(A9/Params!$B$6, 0.9999), "")</f>
        <v/>
      </c>
      <c r="C9">
        <f>IF(B9="", "", NORMINV(B9,0,1))</f>
        <v/>
      </c>
      <c r="D9">
        <f>IF(C9="","",(Params!$B$5/(1+Params!$B$10*NORMINV(Params!$B$15,0,1)))*(1+Params!$B$10*C9))</f>
        <v/>
      </c>
      <c r="E9">
        <f>IF(C9="","",(Params!$B$5/(1+Params!$C$10*NORMINV(Params!$B$16,0,1)))*(1+Params!$C$10*C9))</f>
        <v/>
      </c>
      <c r="F9">
        <f>IF(C9="","",(Params!$B$5/(1+Params!$D$10*NORMINV(Params!$B$17,0,1)))*(1+Params!$D$10*C9))</f>
        <v/>
      </c>
      <c r="G9">
        <f>IF(C9="","",EXP(LN(Params!$B$5)-Params!$B$11*NORMINV(Params!$B$18,0,1)+Params!$B$11*C9))</f>
        <v/>
      </c>
      <c r="H9">
        <f>IF(C9="","",EXP(LN(Params!$B$5)-Params!$C$11*NORMINV(Params!$B$19,0,1)+Params!$C$11*C9))</f>
        <v/>
      </c>
      <c r="I9">
        <f>IF(C9="","",EXP(LN(Params!$B$5)-Params!$D$11*NORMINV(Params!$B$20,0,1)+Params!$D$11*C9))</f>
        <v/>
      </c>
    </row>
    <row r="10" ht="15" customHeight="1" s="31">
      <c r="A10" s="24" t="n">
        <v>8</v>
      </c>
      <c r="B10" s="24">
        <f>IF(A10&lt;=Params!$B$6, MIN(A10/Params!$B$6, 0.9999), "")</f>
        <v/>
      </c>
      <c r="C10" s="24">
        <f>IF(B10="", "", NORMINV(B10,0,1))</f>
        <v/>
      </c>
      <c r="D10" s="24">
        <f>IF(C10="","",(Params!$B$5/(1+Params!$B$10*NORMINV(Params!$B$15,0,1)))*(1+Params!$B$10*C10))</f>
        <v/>
      </c>
      <c r="E10" s="24">
        <f>IF(C10="","",(Params!$B$5/(1+Params!$C$10*NORMINV(Params!$B$16,0,1)))*(1+Params!$C$10*C10))</f>
        <v/>
      </c>
      <c r="F10" s="24">
        <f>IF(C10="","",(Params!$B$5/(1+Params!$D$10*NORMINV(Params!$B$17,0,1)))*(1+Params!$D$10*C10))</f>
        <v/>
      </c>
      <c r="G10" s="24">
        <f>IF(C10="","",EXP(LN(Params!$B$5)-Params!$B$11*NORMINV(Params!$B$18,0,1)+Params!$B$11*C10))</f>
        <v/>
      </c>
      <c r="H10" s="24">
        <f>IF(C10="","",EXP(LN(Params!$B$5)-Params!$C$11*NORMINV(Params!$B$19,0,1)+Params!$C$11*C10))</f>
        <v/>
      </c>
      <c r="I10" s="24">
        <f>IF(C10="","",EXP(LN(Params!$B$5)-Params!$D$11*NORMINV(Params!$B$20,0,1)+Params!$D$11*C10))</f>
        <v/>
      </c>
    </row>
    <row r="11" ht="15" customHeight="1" s="31">
      <c r="A11" t="n">
        <v>9</v>
      </c>
      <c r="B11">
        <f>IF(A11&lt;=Params!$B$6, MIN(A11/Params!$B$6, 0.9999), "")</f>
        <v/>
      </c>
      <c r="C11">
        <f>IF(B11="", "", NORMINV(B11,0,1))</f>
        <v/>
      </c>
      <c r="D11">
        <f>IF(C11="","",(Params!$B$5/(1+Params!$B$10*NORMINV(Params!$B$15,0,1)))*(1+Params!$B$10*C11))</f>
        <v/>
      </c>
      <c r="E11">
        <f>IF(C11="","",(Params!$B$5/(1+Params!$C$10*NORMINV(Params!$B$16,0,1)))*(1+Params!$C$10*C11))</f>
        <v/>
      </c>
      <c r="F11">
        <f>IF(C11="","",(Params!$B$5/(1+Params!$D$10*NORMINV(Params!$B$17,0,1)))*(1+Params!$D$10*C11))</f>
        <v/>
      </c>
      <c r="G11">
        <f>IF(C11="","",EXP(LN(Params!$B$5)-Params!$B$11*NORMINV(Params!$B$18,0,1)+Params!$B$11*C11))</f>
        <v/>
      </c>
      <c r="H11">
        <f>IF(C11="","",EXP(LN(Params!$B$5)-Params!$C$11*NORMINV(Params!$B$19,0,1)+Params!$C$11*C11))</f>
        <v/>
      </c>
      <c r="I11">
        <f>IF(C11="","",EXP(LN(Params!$B$5)-Params!$D$11*NORMINV(Params!$B$20,0,1)+Params!$D$11*C11))</f>
        <v/>
      </c>
    </row>
    <row r="12" ht="15" customHeight="1" s="31">
      <c r="A12" s="24" t="n">
        <v>10</v>
      </c>
      <c r="B12" s="24">
        <f>IF(A12&lt;=Params!$B$6, MIN(A12/Params!$B$6, 0.9999), "")</f>
        <v/>
      </c>
      <c r="C12" s="24">
        <f>IF(B12="", "", NORMINV(B12,0,1))</f>
        <v/>
      </c>
      <c r="D12" s="24">
        <f>IF(C12="","",(Params!$B$5/(1+Params!$B$10*NORMINV(Params!$B$15,0,1)))*(1+Params!$B$10*C12))</f>
        <v/>
      </c>
      <c r="E12" s="24">
        <f>IF(C12="","",(Params!$B$5/(1+Params!$C$10*NORMINV(Params!$B$16,0,1)))*(1+Params!$C$10*C12))</f>
        <v/>
      </c>
      <c r="F12" s="24">
        <f>IF(C12="","",(Params!$B$5/(1+Params!$D$10*NORMINV(Params!$B$17,0,1)))*(1+Params!$D$10*C12))</f>
        <v/>
      </c>
      <c r="G12" s="24">
        <f>IF(C12="","",EXP(LN(Params!$B$5)-Params!$B$11*NORMINV(Params!$B$18,0,1)+Params!$B$11*C12))</f>
        <v/>
      </c>
      <c r="H12" s="24">
        <f>IF(C12="","",EXP(LN(Params!$B$5)-Params!$C$11*NORMINV(Params!$B$19,0,1)+Params!$C$11*C12))</f>
        <v/>
      </c>
      <c r="I12" s="24">
        <f>IF(C12="","",EXP(LN(Params!$B$5)-Params!$D$11*NORMINV(Params!$B$20,0,1)+Params!$D$11*C12))</f>
        <v/>
      </c>
    </row>
    <row r="13" ht="15" customHeight="1" s="31">
      <c r="A13" t="n">
        <v>11</v>
      </c>
      <c r="B13">
        <f>IF(A13&lt;=Params!$B$6, MIN(A13/Params!$B$6, 0.9999), "")</f>
        <v/>
      </c>
      <c r="C13">
        <f>IF(B13="", "", NORMINV(B13,0,1))</f>
        <v/>
      </c>
      <c r="D13">
        <f>IF(C13="","",(Params!$B$5/(1+Params!$B$10*NORMINV(Params!$B$15,0,1)))*(1+Params!$B$10*C13))</f>
        <v/>
      </c>
      <c r="E13">
        <f>IF(C13="","",(Params!$B$5/(1+Params!$C$10*NORMINV(Params!$B$16,0,1)))*(1+Params!$C$10*C13))</f>
        <v/>
      </c>
      <c r="F13">
        <f>IF(C13="","",(Params!$B$5/(1+Params!$D$10*NORMINV(Params!$B$17,0,1)))*(1+Params!$D$10*C13))</f>
        <v/>
      </c>
      <c r="G13">
        <f>IF(C13="","",EXP(LN(Params!$B$5)-Params!$B$11*NORMINV(Params!$B$18,0,1)+Params!$B$11*C13))</f>
        <v/>
      </c>
      <c r="H13">
        <f>IF(C13="","",EXP(LN(Params!$B$5)-Params!$C$11*NORMINV(Params!$B$19,0,1)+Params!$C$11*C13))</f>
        <v/>
      </c>
      <c r="I13">
        <f>IF(C13="","",EXP(LN(Params!$B$5)-Params!$D$11*NORMINV(Params!$B$20,0,1)+Params!$D$11*C13))</f>
        <v/>
      </c>
    </row>
    <row r="14" ht="15" customHeight="1" s="31">
      <c r="A14" s="24" t="n">
        <v>12</v>
      </c>
      <c r="B14" s="24">
        <f>IF(A14&lt;=Params!$B$6, MIN(A14/Params!$B$6, 0.9999), "")</f>
        <v/>
      </c>
      <c r="C14" s="24">
        <f>IF(B14="", "", NORMINV(B14,0,1))</f>
        <v/>
      </c>
      <c r="D14" s="24">
        <f>IF(C14="","",(Params!$B$5/(1+Params!$B$10*NORMINV(Params!$B$15,0,1)))*(1+Params!$B$10*C14))</f>
        <v/>
      </c>
      <c r="E14" s="24">
        <f>IF(C14="","",(Params!$B$5/(1+Params!$C$10*NORMINV(Params!$B$16,0,1)))*(1+Params!$C$10*C14))</f>
        <v/>
      </c>
      <c r="F14" s="24">
        <f>IF(C14="","",(Params!$B$5/(1+Params!$D$10*NORMINV(Params!$B$17,0,1)))*(1+Params!$D$10*C14))</f>
        <v/>
      </c>
      <c r="G14" s="24">
        <f>IF(C14="","",EXP(LN(Params!$B$5)-Params!$B$11*NORMINV(Params!$B$18,0,1)+Params!$B$11*C14))</f>
        <v/>
      </c>
      <c r="H14" s="24">
        <f>IF(C14="","",EXP(LN(Params!$B$5)-Params!$C$11*NORMINV(Params!$B$19,0,1)+Params!$C$11*C14))</f>
        <v/>
      </c>
      <c r="I14" s="24">
        <f>IF(C14="","",EXP(LN(Params!$B$5)-Params!$D$11*NORMINV(Params!$B$20,0,1)+Params!$D$11*C14))</f>
        <v/>
      </c>
    </row>
    <row r="15" ht="15" customHeight="1" s="31">
      <c r="A15" t="n">
        <v>13</v>
      </c>
      <c r="B15">
        <f>IF(A15&lt;=Params!$B$6, MIN(A15/Params!$B$6, 0.9999), "")</f>
        <v/>
      </c>
      <c r="C15">
        <f>IF(B15="", "", NORMINV(B15,0,1))</f>
        <v/>
      </c>
      <c r="D15">
        <f>IF(C15="","",(Params!$B$5/(1+Params!$B$10*NORMINV(Params!$B$15,0,1)))*(1+Params!$B$10*C15))</f>
        <v/>
      </c>
      <c r="E15">
        <f>IF(C15="","",(Params!$B$5/(1+Params!$C$10*NORMINV(Params!$B$16,0,1)))*(1+Params!$C$10*C15))</f>
        <v/>
      </c>
      <c r="F15">
        <f>IF(C15="","",(Params!$B$5/(1+Params!$D$10*NORMINV(Params!$B$17,0,1)))*(1+Params!$D$10*C15))</f>
        <v/>
      </c>
      <c r="G15">
        <f>IF(C15="","",EXP(LN(Params!$B$5)-Params!$B$11*NORMINV(Params!$B$18,0,1)+Params!$B$11*C15))</f>
        <v/>
      </c>
      <c r="H15">
        <f>IF(C15="","",EXP(LN(Params!$B$5)-Params!$C$11*NORMINV(Params!$B$19,0,1)+Params!$C$11*C15))</f>
        <v/>
      </c>
      <c r="I15">
        <f>IF(C15="","",EXP(LN(Params!$B$5)-Params!$D$11*NORMINV(Params!$B$20,0,1)+Params!$D$11*C15))</f>
        <v/>
      </c>
    </row>
    <row r="16" ht="15" customHeight="1" s="31">
      <c r="A16" s="24" t="n">
        <v>14</v>
      </c>
      <c r="B16" s="24">
        <f>IF(A16&lt;=Params!$B$6, MIN(A16/Params!$B$6, 0.9999), "")</f>
        <v/>
      </c>
      <c r="C16" s="24">
        <f>IF(B16="", "", NORMINV(B16,0,1))</f>
        <v/>
      </c>
      <c r="D16" s="24">
        <f>IF(C16="","",(Params!$B$5/(1+Params!$B$10*NORMINV(Params!$B$15,0,1)))*(1+Params!$B$10*C16))</f>
        <v/>
      </c>
      <c r="E16" s="24">
        <f>IF(C16="","",(Params!$B$5/(1+Params!$C$10*NORMINV(Params!$B$16,0,1)))*(1+Params!$C$10*C16))</f>
        <v/>
      </c>
      <c r="F16" s="24">
        <f>IF(C16="","",(Params!$B$5/(1+Params!$D$10*NORMINV(Params!$B$17,0,1)))*(1+Params!$D$10*C16))</f>
        <v/>
      </c>
      <c r="G16" s="24">
        <f>IF(C16="","",EXP(LN(Params!$B$5)-Params!$B$11*NORMINV(Params!$B$18,0,1)+Params!$B$11*C16))</f>
        <v/>
      </c>
      <c r="H16" s="24">
        <f>IF(C16="","",EXP(LN(Params!$B$5)-Params!$C$11*NORMINV(Params!$B$19,0,1)+Params!$C$11*C16))</f>
        <v/>
      </c>
      <c r="I16" s="24">
        <f>IF(C16="","",EXP(LN(Params!$B$5)-Params!$D$11*NORMINV(Params!$B$20,0,1)+Params!$D$11*C16))</f>
        <v/>
      </c>
    </row>
    <row r="17" ht="15" customHeight="1" s="31">
      <c r="A17" t="n">
        <v>15</v>
      </c>
      <c r="B17">
        <f>IF(A17&lt;=Params!$B$6, MIN(A17/Params!$B$6, 0.9999), "")</f>
        <v/>
      </c>
      <c r="C17">
        <f>IF(B17="", "", NORMINV(B17,0,1))</f>
        <v/>
      </c>
      <c r="D17">
        <f>IF(C17="","",(Params!$B$5/(1+Params!$B$10*NORMINV(Params!$B$15,0,1)))*(1+Params!$B$10*C17))</f>
        <v/>
      </c>
      <c r="E17">
        <f>IF(C17="","",(Params!$B$5/(1+Params!$C$10*NORMINV(Params!$B$16,0,1)))*(1+Params!$C$10*C17))</f>
        <v/>
      </c>
      <c r="F17">
        <f>IF(C17="","",(Params!$B$5/(1+Params!$D$10*NORMINV(Params!$B$17,0,1)))*(1+Params!$D$10*C17))</f>
        <v/>
      </c>
      <c r="G17">
        <f>IF(C17="","",EXP(LN(Params!$B$5)-Params!$B$11*NORMINV(Params!$B$18,0,1)+Params!$B$11*C17))</f>
        <v/>
      </c>
      <c r="H17">
        <f>IF(C17="","",EXP(LN(Params!$B$5)-Params!$C$11*NORMINV(Params!$B$19,0,1)+Params!$C$11*C17))</f>
        <v/>
      </c>
      <c r="I17">
        <f>IF(C17="","",EXP(LN(Params!$B$5)-Params!$D$11*NORMINV(Params!$B$20,0,1)+Params!$D$11*C17))</f>
        <v/>
      </c>
    </row>
    <row r="18" ht="15" customHeight="1" s="31">
      <c r="A18" s="24" t="n">
        <v>16</v>
      </c>
      <c r="B18" s="24">
        <f>IF(A18&lt;=Params!$B$6, MIN(A18/Params!$B$6, 0.9999), "")</f>
        <v/>
      </c>
      <c r="C18" s="24">
        <f>IF(B18="", "", NORMINV(B18,0,1))</f>
        <v/>
      </c>
      <c r="D18" s="24">
        <f>IF(C18="","",(Params!$B$5/(1+Params!$B$10*NORMINV(Params!$B$15,0,1)))*(1+Params!$B$10*C18))</f>
        <v/>
      </c>
      <c r="E18" s="24">
        <f>IF(C18="","",(Params!$B$5/(1+Params!$C$10*NORMINV(Params!$B$16,0,1)))*(1+Params!$C$10*C18))</f>
        <v/>
      </c>
      <c r="F18" s="24">
        <f>IF(C18="","",(Params!$B$5/(1+Params!$D$10*NORMINV(Params!$B$17,0,1)))*(1+Params!$D$10*C18))</f>
        <v/>
      </c>
      <c r="G18" s="24">
        <f>IF(C18="","",EXP(LN(Params!$B$5)-Params!$B$11*NORMINV(Params!$B$18,0,1)+Params!$B$11*C18))</f>
        <v/>
      </c>
      <c r="H18" s="24">
        <f>IF(C18="","",EXP(LN(Params!$B$5)-Params!$C$11*NORMINV(Params!$B$19,0,1)+Params!$C$11*C18))</f>
        <v/>
      </c>
      <c r="I18" s="24">
        <f>IF(C18="","",EXP(LN(Params!$B$5)-Params!$D$11*NORMINV(Params!$B$20,0,1)+Params!$D$11*C18))</f>
        <v/>
      </c>
    </row>
    <row r="19" ht="15" customHeight="1" s="31">
      <c r="A19" t="n">
        <v>17</v>
      </c>
      <c r="B19">
        <f>IF(A19&lt;=Params!$B$6, MIN(A19/Params!$B$6, 0.9999), "")</f>
        <v/>
      </c>
      <c r="C19">
        <f>IF(B19="", "", NORMINV(B19,0,1))</f>
        <v/>
      </c>
      <c r="D19">
        <f>IF(C19="","",(Params!$B$5/(1+Params!$B$10*NORMINV(Params!$B$15,0,1)))*(1+Params!$B$10*C19))</f>
        <v/>
      </c>
      <c r="E19">
        <f>IF(C19="","",(Params!$B$5/(1+Params!$C$10*NORMINV(Params!$B$16,0,1)))*(1+Params!$C$10*C19))</f>
        <v/>
      </c>
      <c r="F19">
        <f>IF(C19="","",(Params!$B$5/(1+Params!$D$10*NORMINV(Params!$B$17,0,1)))*(1+Params!$D$10*C19))</f>
        <v/>
      </c>
      <c r="G19">
        <f>IF(C19="","",EXP(LN(Params!$B$5)-Params!$B$11*NORMINV(Params!$B$18,0,1)+Params!$B$11*C19))</f>
        <v/>
      </c>
      <c r="H19">
        <f>IF(C19="","",EXP(LN(Params!$B$5)-Params!$C$11*NORMINV(Params!$B$19,0,1)+Params!$C$11*C19))</f>
        <v/>
      </c>
      <c r="I19">
        <f>IF(C19="","",EXP(LN(Params!$B$5)-Params!$D$11*NORMINV(Params!$B$20,0,1)+Params!$D$11*C19))</f>
        <v/>
      </c>
    </row>
    <row r="20" ht="15" customHeight="1" s="31">
      <c r="A20" s="24" t="n">
        <v>18</v>
      </c>
      <c r="B20" s="24">
        <f>IF(A20&lt;=Params!$B$6, MIN(A20/Params!$B$6, 0.9999), "")</f>
        <v/>
      </c>
      <c r="C20" s="24">
        <f>IF(B20="", "", NORMINV(B20,0,1))</f>
        <v/>
      </c>
      <c r="D20" s="24">
        <f>IF(C20="","",(Params!$B$5/(1+Params!$B$10*NORMINV(Params!$B$15,0,1)))*(1+Params!$B$10*C20))</f>
        <v/>
      </c>
      <c r="E20" s="24">
        <f>IF(C20="","",(Params!$B$5/(1+Params!$C$10*NORMINV(Params!$B$16,0,1)))*(1+Params!$C$10*C20))</f>
        <v/>
      </c>
      <c r="F20" s="24">
        <f>IF(C20="","",(Params!$B$5/(1+Params!$D$10*NORMINV(Params!$B$17,0,1)))*(1+Params!$D$10*C20))</f>
        <v/>
      </c>
      <c r="G20" s="24">
        <f>IF(C20="","",EXP(LN(Params!$B$5)-Params!$B$11*NORMINV(Params!$B$18,0,1)+Params!$B$11*C20))</f>
        <v/>
      </c>
      <c r="H20" s="24">
        <f>IF(C20="","",EXP(LN(Params!$B$5)-Params!$C$11*NORMINV(Params!$B$19,0,1)+Params!$C$11*C20))</f>
        <v/>
      </c>
      <c r="I20" s="24">
        <f>IF(C20="","",EXP(LN(Params!$B$5)-Params!$D$11*NORMINV(Params!$B$20,0,1)+Params!$D$11*C20))</f>
        <v/>
      </c>
    </row>
    <row r="21" ht="15" customHeight="1" s="31">
      <c r="A21" t="n">
        <v>19</v>
      </c>
      <c r="B21">
        <f>IF(A21&lt;=Params!$B$6, MIN(A21/Params!$B$6, 0.9999), "")</f>
        <v/>
      </c>
      <c r="C21">
        <f>IF(B21="", "", NORMINV(B21,0,1))</f>
        <v/>
      </c>
      <c r="D21">
        <f>IF(C21="","",(Params!$B$5/(1+Params!$B$10*NORMINV(Params!$B$15,0,1)))*(1+Params!$B$10*C21))</f>
        <v/>
      </c>
      <c r="E21">
        <f>IF(C21="","",(Params!$B$5/(1+Params!$C$10*NORMINV(Params!$B$16,0,1)))*(1+Params!$C$10*C21))</f>
        <v/>
      </c>
      <c r="F21">
        <f>IF(C21="","",(Params!$B$5/(1+Params!$D$10*NORMINV(Params!$B$17,0,1)))*(1+Params!$D$10*C21))</f>
        <v/>
      </c>
      <c r="G21">
        <f>IF(C21="","",EXP(LN(Params!$B$5)-Params!$B$11*NORMINV(Params!$B$18,0,1)+Params!$B$11*C21))</f>
        <v/>
      </c>
      <c r="H21">
        <f>IF(C21="","",EXP(LN(Params!$B$5)-Params!$C$11*NORMINV(Params!$B$19,0,1)+Params!$C$11*C21))</f>
        <v/>
      </c>
      <c r="I21">
        <f>IF(C21="","",EXP(LN(Params!$B$5)-Params!$D$11*NORMINV(Params!$B$20,0,1)+Params!$D$11*C21))</f>
        <v/>
      </c>
    </row>
    <row r="22" ht="15" customHeight="1" s="31">
      <c r="A22" s="24" t="n">
        <v>20</v>
      </c>
      <c r="B22" s="24">
        <f>IF(A22&lt;=Params!$B$6, MIN(A22/Params!$B$6, 0.9999), "")</f>
        <v/>
      </c>
      <c r="C22" s="24">
        <f>IF(B22="", "", NORMINV(B22,0,1))</f>
        <v/>
      </c>
      <c r="D22" s="24">
        <f>IF(C22="","",(Params!$B$5/(1+Params!$B$10*NORMINV(Params!$B$15,0,1)))*(1+Params!$B$10*C22))</f>
        <v/>
      </c>
      <c r="E22" s="24">
        <f>IF(C22="","",(Params!$B$5/(1+Params!$C$10*NORMINV(Params!$B$16,0,1)))*(1+Params!$C$10*C22))</f>
        <v/>
      </c>
      <c r="F22" s="24">
        <f>IF(C22="","",(Params!$B$5/(1+Params!$D$10*NORMINV(Params!$B$17,0,1)))*(1+Params!$D$10*C22))</f>
        <v/>
      </c>
      <c r="G22" s="24">
        <f>IF(C22="","",EXP(LN(Params!$B$5)-Params!$B$11*NORMINV(Params!$B$18,0,1)+Params!$B$11*C22))</f>
        <v/>
      </c>
      <c r="H22" s="24">
        <f>IF(C22="","",EXP(LN(Params!$B$5)-Params!$C$11*NORMINV(Params!$B$19,0,1)+Params!$C$11*C22))</f>
        <v/>
      </c>
      <c r="I22" s="24">
        <f>IF(C22="","",EXP(LN(Params!$B$5)-Params!$D$11*NORMINV(Params!$B$20,0,1)+Params!$D$11*C22))</f>
        <v/>
      </c>
    </row>
    <row r="23">
      <c r="A23" t="n">
        <v>21</v>
      </c>
      <c r="B23">
        <f>IF(A23&lt;=Params!$B$6, MIN(A23/Params!$B$6, 0.9999), "")</f>
        <v/>
      </c>
      <c r="C23">
        <f>IF(B23="", "", NORMINV(B23,0,1))</f>
        <v/>
      </c>
      <c r="D23">
        <f>IF(C23="","",(Params!$B$5/(1+Params!$B$10*NORMINV(Params!$B$15,0,1)))*(1+Params!$B$10*C23))</f>
        <v/>
      </c>
      <c r="E23">
        <f>IF(C23="","",(Params!$B$5/(1+Params!$C$10*NORMINV(Params!$B$16,0,1)))*(1+Params!$C$10*C23))</f>
        <v/>
      </c>
      <c r="F23">
        <f>IF(C23="","",(Params!$B$5/(1+Params!$D$10*NORMINV(Params!$B$17,0,1)))*(1+Params!$D$10*C23))</f>
        <v/>
      </c>
      <c r="G23">
        <f>IF(C23="","",EXP(LN(Params!$B$5)-Params!$B$11*NORMINV(Params!$B$18,0,1)+Params!$B$11*C23))</f>
        <v/>
      </c>
      <c r="H23">
        <f>IF(C23="","",EXP(LN(Params!$B$5)-Params!$C$11*NORMINV(Params!$B$19,0,1)+Params!$C$11*C23))</f>
        <v/>
      </c>
      <c r="I23">
        <f>IF(C23="","",EXP(LN(Params!$B$5)-Params!$D$11*NORMINV(Params!$B$20,0,1)+Params!$D$11*C23))</f>
        <v/>
      </c>
    </row>
    <row r="24">
      <c r="A24" s="24" t="n">
        <v>22</v>
      </c>
      <c r="B24" s="24">
        <f>IF(A24&lt;=Params!$B$6, MIN(A24/Params!$B$6, 0.9999), "")</f>
        <v/>
      </c>
      <c r="C24" s="24">
        <f>IF(B24="", "", NORMINV(B24,0,1))</f>
        <v/>
      </c>
      <c r="D24" s="24">
        <f>IF(C24="","",(Params!$B$5/(1+Params!$B$10*NORMINV(Params!$B$15,0,1)))*(1+Params!$B$10*C24))</f>
        <v/>
      </c>
      <c r="E24" s="24">
        <f>IF(C24="","",(Params!$B$5/(1+Params!$C$10*NORMINV(Params!$B$16,0,1)))*(1+Params!$C$10*C24))</f>
        <v/>
      </c>
      <c r="F24" s="24">
        <f>IF(C24="","",(Params!$B$5/(1+Params!$D$10*NORMINV(Params!$B$17,0,1)))*(1+Params!$D$10*C24))</f>
        <v/>
      </c>
      <c r="G24" s="24">
        <f>IF(C24="","",EXP(LN(Params!$B$5)-Params!$B$11*NORMINV(Params!$B$18,0,1)+Params!$B$11*C24))</f>
        <v/>
      </c>
      <c r="H24" s="24">
        <f>IF(C24="","",EXP(LN(Params!$B$5)-Params!$C$11*NORMINV(Params!$B$19,0,1)+Params!$C$11*C24))</f>
        <v/>
      </c>
      <c r="I24" s="24">
        <f>IF(C24="","",EXP(LN(Params!$B$5)-Params!$D$11*NORMINV(Params!$B$20,0,1)+Params!$D$11*C24))</f>
        <v/>
      </c>
    </row>
    <row r="25">
      <c r="A25" t="n">
        <v>23</v>
      </c>
      <c r="B25">
        <f>IF(A25&lt;=Params!$B$6, MIN(A25/Params!$B$6, 0.9999), "")</f>
        <v/>
      </c>
      <c r="C25">
        <f>IF(B25="", "", NORMINV(B25,0,1))</f>
        <v/>
      </c>
      <c r="D25">
        <f>IF(C25="","",(Params!$B$5/(1+Params!$B$10*NORMINV(Params!$B$15,0,1)))*(1+Params!$B$10*C25))</f>
        <v/>
      </c>
      <c r="E25">
        <f>IF(C25="","",(Params!$B$5/(1+Params!$C$10*NORMINV(Params!$B$16,0,1)))*(1+Params!$C$10*C25))</f>
        <v/>
      </c>
      <c r="F25">
        <f>IF(C25="","",(Params!$B$5/(1+Params!$D$10*NORMINV(Params!$B$17,0,1)))*(1+Params!$D$10*C25))</f>
        <v/>
      </c>
      <c r="G25">
        <f>IF(C25="","",EXP(LN(Params!$B$5)-Params!$B$11*NORMINV(Params!$B$18,0,1)+Params!$B$11*C25))</f>
        <v/>
      </c>
      <c r="H25">
        <f>IF(C25="","",EXP(LN(Params!$B$5)-Params!$C$11*NORMINV(Params!$B$19,0,1)+Params!$C$11*C25))</f>
        <v/>
      </c>
      <c r="I25">
        <f>IF(C25="","",EXP(LN(Params!$B$5)-Params!$D$11*NORMINV(Params!$B$20,0,1)+Params!$D$11*C25))</f>
        <v/>
      </c>
    </row>
    <row r="26">
      <c r="A26" s="24" t="n">
        <v>24</v>
      </c>
      <c r="B26" s="24">
        <f>IF(A26&lt;=Params!$B$6, MIN(A26/Params!$B$6, 0.9999), "")</f>
        <v/>
      </c>
      <c r="C26" s="24">
        <f>IF(B26="", "", NORMINV(B26,0,1))</f>
        <v/>
      </c>
      <c r="D26" s="24">
        <f>IF(C26="","",(Params!$B$5/(1+Params!$B$10*NORMINV(Params!$B$15,0,1)))*(1+Params!$B$10*C26))</f>
        <v/>
      </c>
      <c r="E26" s="24">
        <f>IF(C26="","",(Params!$B$5/(1+Params!$C$10*NORMINV(Params!$B$16,0,1)))*(1+Params!$C$10*C26))</f>
        <v/>
      </c>
      <c r="F26" s="24">
        <f>IF(C26="","",(Params!$B$5/(1+Params!$D$10*NORMINV(Params!$B$17,0,1)))*(1+Params!$D$10*C26))</f>
        <v/>
      </c>
      <c r="G26" s="24">
        <f>IF(C26="","",EXP(LN(Params!$B$5)-Params!$B$11*NORMINV(Params!$B$18,0,1)+Params!$B$11*C26))</f>
        <v/>
      </c>
      <c r="H26" s="24">
        <f>IF(C26="","",EXP(LN(Params!$B$5)-Params!$C$11*NORMINV(Params!$B$19,0,1)+Params!$C$11*C26))</f>
        <v/>
      </c>
      <c r="I26" s="24">
        <f>IF(C26="","",EXP(LN(Params!$B$5)-Params!$D$11*NORMINV(Params!$B$20,0,1)+Params!$D$11*C26))</f>
        <v/>
      </c>
    </row>
    <row r="27">
      <c r="A27" t="n">
        <v>25</v>
      </c>
      <c r="B27">
        <f>IF(A27&lt;=Params!$B$6, MIN(A27/Params!$B$6, 0.9999), "")</f>
        <v/>
      </c>
      <c r="C27">
        <f>IF(B27="", "", NORMINV(B27,0,1))</f>
        <v/>
      </c>
      <c r="D27">
        <f>IF(C27="","",(Params!$B$5/(1+Params!$B$10*NORMINV(Params!$B$15,0,1)))*(1+Params!$B$10*C27))</f>
        <v/>
      </c>
      <c r="E27">
        <f>IF(C27="","",(Params!$B$5/(1+Params!$C$10*NORMINV(Params!$B$16,0,1)))*(1+Params!$C$10*C27))</f>
        <v/>
      </c>
      <c r="F27">
        <f>IF(C27="","",(Params!$B$5/(1+Params!$D$10*NORMINV(Params!$B$17,0,1)))*(1+Params!$D$10*C27))</f>
        <v/>
      </c>
      <c r="G27">
        <f>IF(C27="","",EXP(LN(Params!$B$5)-Params!$B$11*NORMINV(Params!$B$18,0,1)+Params!$B$11*C27))</f>
        <v/>
      </c>
      <c r="H27">
        <f>IF(C27="","",EXP(LN(Params!$B$5)-Params!$C$11*NORMINV(Params!$B$19,0,1)+Params!$C$11*C27))</f>
        <v/>
      </c>
      <c r="I27">
        <f>IF(C27="","",EXP(LN(Params!$B$5)-Params!$D$11*NORMINV(Params!$B$20,0,1)+Params!$D$11*C27))</f>
        <v/>
      </c>
    </row>
    <row r="28">
      <c r="A28" s="24" t="n">
        <v>26</v>
      </c>
      <c r="B28" s="24">
        <f>IF(A28&lt;=Params!$B$6, MIN(A28/Params!$B$6, 0.9999), "")</f>
        <v/>
      </c>
      <c r="C28" s="24">
        <f>IF(B28="", "", NORMINV(B28,0,1))</f>
        <v/>
      </c>
      <c r="D28" s="24">
        <f>IF(C28="","",(Params!$B$5/(1+Params!$B$10*NORMINV(Params!$B$15,0,1)))*(1+Params!$B$10*C28))</f>
        <v/>
      </c>
      <c r="E28" s="24">
        <f>IF(C28="","",(Params!$B$5/(1+Params!$C$10*NORMINV(Params!$B$16,0,1)))*(1+Params!$C$10*C28))</f>
        <v/>
      </c>
      <c r="F28" s="24">
        <f>IF(C28="","",(Params!$B$5/(1+Params!$D$10*NORMINV(Params!$B$17,0,1)))*(1+Params!$D$10*C28))</f>
        <v/>
      </c>
      <c r="G28" s="24">
        <f>IF(C28="","",EXP(LN(Params!$B$5)-Params!$B$11*NORMINV(Params!$B$18,0,1)+Params!$B$11*C28))</f>
        <v/>
      </c>
      <c r="H28" s="24">
        <f>IF(C28="","",EXP(LN(Params!$B$5)-Params!$C$11*NORMINV(Params!$B$19,0,1)+Params!$C$11*C28))</f>
        <v/>
      </c>
      <c r="I28" s="24">
        <f>IF(C28="","",EXP(LN(Params!$B$5)-Params!$D$11*NORMINV(Params!$B$20,0,1)+Params!$D$11*C28))</f>
        <v/>
      </c>
    </row>
    <row r="29">
      <c r="A29" t="n">
        <v>27</v>
      </c>
      <c r="B29">
        <f>IF(A29&lt;=Params!$B$6, MIN(A29/Params!$B$6, 0.9999), "")</f>
        <v/>
      </c>
      <c r="C29">
        <f>IF(B29="", "", NORMINV(B29,0,1))</f>
        <v/>
      </c>
      <c r="D29">
        <f>IF(C29="","",(Params!$B$5/(1+Params!$B$10*NORMINV(Params!$B$15,0,1)))*(1+Params!$B$10*C29))</f>
        <v/>
      </c>
      <c r="E29">
        <f>IF(C29="","",(Params!$B$5/(1+Params!$C$10*NORMINV(Params!$B$16,0,1)))*(1+Params!$C$10*C29))</f>
        <v/>
      </c>
      <c r="F29">
        <f>IF(C29="","",(Params!$B$5/(1+Params!$D$10*NORMINV(Params!$B$17,0,1)))*(1+Params!$D$10*C29))</f>
        <v/>
      </c>
      <c r="G29">
        <f>IF(C29="","",EXP(LN(Params!$B$5)-Params!$B$11*NORMINV(Params!$B$18,0,1)+Params!$B$11*C29))</f>
        <v/>
      </c>
      <c r="H29">
        <f>IF(C29="","",EXP(LN(Params!$B$5)-Params!$C$11*NORMINV(Params!$B$19,0,1)+Params!$C$11*C29))</f>
        <v/>
      </c>
      <c r="I29">
        <f>IF(C29="","",EXP(LN(Params!$B$5)-Params!$D$11*NORMINV(Params!$B$20,0,1)+Params!$D$11*C29))</f>
        <v/>
      </c>
    </row>
    <row r="30">
      <c r="A30" s="24" t="n">
        <v>28</v>
      </c>
      <c r="B30" s="24">
        <f>IF(A30&lt;=Params!$B$6, MIN(A30/Params!$B$6, 0.9999), "")</f>
        <v/>
      </c>
      <c r="C30" s="24">
        <f>IF(B30="", "", NORMINV(B30,0,1))</f>
        <v/>
      </c>
      <c r="D30" s="24">
        <f>IF(C30="","",(Params!$B$5/(1+Params!$B$10*NORMINV(Params!$B$15,0,1)))*(1+Params!$B$10*C30))</f>
        <v/>
      </c>
      <c r="E30" s="24">
        <f>IF(C30="","",(Params!$B$5/(1+Params!$C$10*NORMINV(Params!$B$16,0,1)))*(1+Params!$C$10*C30))</f>
        <v/>
      </c>
      <c r="F30" s="24">
        <f>IF(C30="","",(Params!$B$5/(1+Params!$D$10*NORMINV(Params!$B$17,0,1)))*(1+Params!$D$10*C30))</f>
        <v/>
      </c>
      <c r="G30" s="24">
        <f>IF(C30="","",EXP(LN(Params!$B$5)-Params!$B$11*NORMINV(Params!$B$18,0,1)+Params!$B$11*C30))</f>
        <v/>
      </c>
      <c r="H30" s="24">
        <f>IF(C30="","",EXP(LN(Params!$B$5)-Params!$C$11*NORMINV(Params!$B$19,0,1)+Params!$C$11*C30))</f>
        <v/>
      </c>
      <c r="I30" s="24">
        <f>IF(C30="","",EXP(LN(Params!$B$5)-Params!$D$11*NORMINV(Params!$B$20,0,1)+Params!$D$11*C30))</f>
        <v/>
      </c>
    </row>
    <row r="31">
      <c r="A31" t="n">
        <v>29</v>
      </c>
      <c r="B31">
        <f>IF(A31&lt;=Params!$B$6, MIN(A31/Params!$B$6, 0.9999), "")</f>
        <v/>
      </c>
      <c r="C31">
        <f>IF(B31="", "", NORMINV(B31,0,1))</f>
        <v/>
      </c>
      <c r="D31">
        <f>IF(C31="","",(Params!$B$5/(1+Params!$B$10*NORMINV(Params!$B$15,0,1)))*(1+Params!$B$10*C31))</f>
        <v/>
      </c>
      <c r="E31">
        <f>IF(C31="","",(Params!$B$5/(1+Params!$C$10*NORMINV(Params!$B$16,0,1)))*(1+Params!$C$10*C31))</f>
        <v/>
      </c>
      <c r="F31">
        <f>IF(C31="","",(Params!$B$5/(1+Params!$D$10*NORMINV(Params!$B$17,0,1)))*(1+Params!$D$10*C31))</f>
        <v/>
      </c>
      <c r="G31">
        <f>IF(C31="","",EXP(LN(Params!$B$5)-Params!$B$11*NORMINV(Params!$B$18,0,1)+Params!$B$11*C31))</f>
        <v/>
      </c>
      <c r="H31">
        <f>IF(C31="","",EXP(LN(Params!$B$5)-Params!$C$11*NORMINV(Params!$B$19,0,1)+Params!$C$11*C31))</f>
        <v/>
      </c>
      <c r="I31">
        <f>IF(C31="","",EXP(LN(Params!$B$5)-Params!$D$11*NORMINV(Params!$B$20,0,1)+Params!$D$11*C31))</f>
        <v/>
      </c>
    </row>
    <row r="32">
      <c r="A32" s="24" t="n">
        <v>30</v>
      </c>
      <c r="B32" s="24">
        <f>IF(A32&lt;=Params!$B$6, MIN(A32/Params!$B$6, 0.9999), "")</f>
        <v/>
      </c>
      <c r="C32" s="24">
        <f>IF(B32="", "", NORMINV(B32,0,1))</f>
        <v/>
      </c>
      <c r="D32" s="24">
        <f>IF(C32="","",(Params!$B$5/(1+Params!$B$10*NORMINV(Params!$B$15,0,1)))*(1+Params!$B$10*C32))</f>
        <v/>
      </c>
      <c r="E32" s="24">
        <f>IF(C32="","",(Params!$B$5/(1+Params!$C$10*NORMINV(Params!$B$16,0,1)))*(1+Params!$C$10*C32))</f>
        <v/>
      </c>
      <c r="F32" s="24">
        <f>IF(C32="","",(Params!$B$5/(1+Params!$D$10*NORMINV(Params!$B$17,0,1)))*(1+Params!$D$10*C32))</f>
        <v/>
      </c>
      <c r="G32" s="24">
        <f>IF(C32="","",EXP(LN(Params!$B$5)-Params!$B$11*NORMINV(Params!$B$18,0,1)+Params!$B$11*C32))</f>
        <v/>
      </c>
      <c r="H32" s="24">
        <f>IF(C32="","",EXP(LN(Params!$B$5)-Params!$C$11*NORMINV(Params!$B$19,0,1)+Params!$C$11*C32))</f>
        <v/>
      </c>
      <c r="I32" s="24">
        <f>IF(C32="","",EXP(LN(Params!$B$5)-Params!$D$11*NORMINV(Params!$B$20,0,1)+Params!$D$11*C32))</f>
        <v/>
      </c>
    </row>
    <row r="33">
      <c r="A33" t="n">
        <v>31</v>
      </c>
      <c r="B33">
        <f>IF(A33&lt;=Params!$B$6, MIN(A33/Params!$B$6, 0.9999), "")</f>
        <v/>
      </c>
      <c r="C33">
        <f>IF(B33="", "", NORMINV(B33,0,1))</f>
        <v/>
      </c>
      <c r="D33">
        <f>IF(C33="","",(Params!$B$5/(1+Params!$B$10*NORMINV(Params!$B$15,0,1)))*(1+Params!$B$10*C33))</f>
        <v/>
      </c>
      <c r="E33">
        <f>IF(C33="","",(Params!$B$5/(1+Params!$C$10*NORMINV(Params!$B$16,0,1)))*(1+Params!$C$10*C33))</f>
        <v/>
      </c>
      <c r="F33">
        <f>IF(C33="","",(Params!$B$5/(1+Params!$D$10*NORMINV(Params!$B$17,0,1)))*(1+Params!$D$10*C33))</f>
        <v/>
      </c>
      <c r="G33">
        <f>IF(C33="","",EXP(LN(Params!$B$5)-Params!$B$11*NORMINV(Params!$B$18,0,1)+Params!$B$11*C33))</f>
        <v/>
      </c>
      <c r="H33">
        <f>IF(C33="","",EXP(LN(Params!$B$5)-Params!$C$11*NORMINV(Params!$B$19,0,1)+Params!$C$11*C33))</f>
        <v/>
      </c>
      <c r="I33">
        <f>IF(C33="","",EXP(LN(Params!$B$5)-Params!$D$11*NORMINV(Params!$B$20,0,1)+Params!$D$11*C33))</f>
        <v/>
      </c>
    </row>
    <row r="34">
      <c r="A34" s="24" t="n">
        <v>32</v>
      </c>
      <c r="B34" s="24">
        <f>IF(A34&lt;=Params!$B$6, MIN(A34/Params!$B$6, 0.9999), "")</f>
        <v/>
      </c>
      <c r="C34" s="24">
        <f>IF(B34="", "", NORMINV(B34,0,1))</f>
        <v/>
      </c>
      <c r="D34" s="24">
        <f>IF(C34="","",(Params!$B$5/(1+Params!$B$10*NORMINV(Params!$B$15,0,1)))*(1+Params!$B$10*C34))</f>
        <v/>
      </c>
      <c r="E34" s="24">
        <f>IF(C34="","",(Params!$B$5/(1+Params!$C$10*NORMINV(Params!$B$16,0,1)))*(1+Params!$C$10*C34))</f>
        <v/>
      </c>
      <c r="F34" s="24">
        <f>IF(C34="","",(Params!$B$5/(1+Params!$D$10*NORMINV(Params!$B$17,0,1)))*(1+Params!$D$10*C34))</f>
        <v/>
      </c>
      <c r="G34" s="24">
        <f>IF(C34="","",EXP(LN(Params!$B$5)-Params!$B$11*NORMINV(Params!$B$18,0,1)+Params!$B$11*C34))</f>
        <v/>
      </c>
      <c r="H34" s="24">
        <f>IF(C34="","",EXP(LN(Params!$B$5)-Params!$C$11*NORMINV(Params!$B$19,0,1)+Params!$C$11*C34))</f>
        <v/>
      </c>
      <c r="I34" s="24">
        <f>IF(C34="","",EXP(LN(Params!$B$5)-Params!$D$11*NORMINV(Params!$B$20,0,1)+Params!$D$11*C34))</f>
        <v/>
      </c>
    </row>
    <row r="35">
      <c r="A35" t="n">
        <v>33</v>
      </c>
      <c r="B35">
        <f>IF(A35&lt;=Params!$B$6, MIN(A35/Params!$B$6, 0.9999), "")</f>
        <v/>
      </c>
      <c r="C35">
        <f>IF(B35="", "", NORMINV(B35,0,1))</f>
        <v/>
      </c>
      <c r="D35">
        <f>IF(C35="","",(Params!$B$5/(1+Params!$B$10*NORMINV(Params!$B$15,0,1)))*(1+Params!$B$10*C35))</f>
        <v/>
      </c>
      <c r="E35">
        <f>IF(C35="","",(Params!$B$5/(1+Params!$C$10*NORMINV(Params!$B$16,0,1)))*(1+Params!$C$10*C35))</f>
        <v/>
      </c>
      <c r="F35">
        <f>IF(C35="","",(Params!$B$5/(1+Params!$D$10*NORMINV(Params!$B$17,0,1)))*(1+Params!$D$10*C35))</f>
        <v/>
      </c>
      <c r="G35">
        <f>IF(C35="","",EXP(LN(Params!$B$5)-Params!$B$11*NORMINV(Params!$B$18,0,1)+Params!$B$11*C35))</f>
        <v/>
      </c>
      <c r="H35">
        <f>IF(C35="","",EXP(LN(Params!$B$5)-Params!$C$11*NORMINV(Params!$B$19,0,1)+Params!$C$11*C35))</f>
        <v/>
      </c>
      <c r="I35">
        <f>IF(C35="","",EXP(LN(Params!$B$5)-Params!$D$11*NORMINV(Params!$B$20,0,1)+Params!$D$11*C35))</f>
        <v/>
      </c>
    </row>
    <row r="36">
      <c r="A36" s="24" t="n">
        <v>34</v>
      </c>
      <c r="B36" s="24">
        <f>IF(A36&lt;=Params!$B$6, MIN(A36/Params!$B$6, 0.9999), "")</f>
        <v/>
      </c>
      <c r="C36" s="24">
        <f>IF(B36="", "", NORMINV(B36,0,1))</f>
        <v/>
      </c>
      <c r="D36" s="24">
        <f>IF(C36="","",(Params!$B$5/(1+Params!$B$10*NORMINV(Params!$B$15,0,1)))*(1+Params!$B$10*C36))</f>
        <v/>
      </c>
      <c r="E36" s="24">
        <f>IF(C36="","",(Params!$B$5/(1+Params!$C$10*NORMINV(Params!$B$16,0,1)))*(1+Params!$C$10*C36))</f>
        <v/>
      </c>
      <c r="F36" s="24">
        <f>IF(C36="","",(Params!$B$5/(1+Params!$D$10*NORMINV(Params!$B$17,0,1)))*(1+Params!$D$10*C36))</f>
        <v/>
      </c>
      <c r="G36" s="24">
        <f>IF(C36="","",EXP(LN(Params!$B$5)-Params!$B$11*NORMINV(Params!$B$18,0,1)+Params!$B$11*C36))</f>
        <v/>
      </c>
      <c r="H36" s="24">
        <f>IF(C36="","",EXP(LN(Params!$B$5)-Params!$C$11*NORMINV(Params!$B$19,0,1)+Params!$C$11*C36))</f>
        <v/>
      </c>
      <c r="I36" s="24">
        <f>IF(C36="","",EXP(LN(Params!$B$5)-Params!$D$11*NORMINV(Params!$B$20,0,1)+Params!$D$11*C36))</f>
        <v/>
      </c>
    </row>
    <row r="37">
      <c r="A37" t="n">
        <v>35</v>
      </c>
      <c r="B37">
        <f>IF(A37&lt;=Params!$B$6, MIN(A37/Params!$B$6, 0.9999), "")</f>
        <v/>
      </c>
      <c r="C37">
        <f>IF(B37="", "", NORMINV(B37,0,1))</f>
        <v/>
      </c>
      <c r="D37">
        <f>IF(C37="","",(Params!$B$5/(1+Params!$B$10*NORMINV(Params!$B$15,0,1)))*(1+Params!$B$10*C37))</f>
        <v/>
      </c>
      <c r="E37">
        <f>IF(C37="","",(Params!$B$5/(1+Params!$C$10*NORMINV(Params!$B$16,0,1)))*(1+Params!$C$10*C37))</f>
        <v/>
      </c>
      <c r="F37">
        <f>IF(C37="","",(Params!$B$5/(1+Params!$D$10*NORMINV(Params!$B$17,0,1)))*(1+Params!$D$10*C37))</f>
        <v/>
      </c>
      <c r="G37">
        <f>IF(C37="","",EXP(LN(Params!$B$5)-Params!$B$11*NORMINV(Params!$B$18,0,1)+Params!$B$11*C37))</f>
        <v/>
      </c>
      <c r="H37">
        <f>IF(C37="","",EXP(LN(Params!$B$5)-Params!$C$11*NORMINV(Params!$B$19,0,1)+Params!$C$11*C37))</f>
        <v/>
      </c>
      <c r="I37">
        <f>IF(C37="","",EXP(LN(Params!$B$5)-Params!$D$11*NORMINV(Params!$B$20,0,1)+Params!$D$11*C37))</f>
        <v/>
      </c>
    </row>
    <row r="38">
      <c r="A38" s="24" t="n">
        <v>36</v>
      </c>
      <c r="B38" s="24">
        <f>IF(A38&lt;=Params!$B$6, MIN(A38/Params!$B$6, 0.9999), "")</f>
        <v/>
      </c>
      <c r="C38" s="24">
        <f>IF(B38="", "", NORMINV(B38,0,1))</f>
        <v/>
      </c>
      <c r="D38" s="24">
        <f>IF(C38="","",(Params!$B$5/(1+Params!$B$10*NORMINV(Params!$B$15,0,1)))*(1+Params!$B$10*C38))</f>
        <v/>
      </c>
      <c r="E38" s="24">
        <f>IF(C38="","",(Params!$B$5/(1+Params!$C$10*NORMINV(Params!$B$16,0,1)))*(1+Params!$C$10*C38))</f>
        <v/>
      </c>
      <c r="F38" s="24">
        <f>IF(C38="","",(Params!$B$5/(1+Params!$D$10*NORMINV(Params!$B$17,0,1)))*(1+Params!$D$10*C38))</f>
        <v/>
      </c>
      <c r="G38" s="24">
        <f>IF(C38="","",EXP(LN(Params!$B$5)-Params!$B$11*NORMINV(Params!$B$18,0,1)+Params!$B$11*C38))</f>
        <v/>
      </c>
      <c r="H38" s="24">
        <f>IF(C38="","",EXP(LN(Params!$B$5)-Params!$C$11*NORMINV(Params!$B$19,0,1)+Params!$C$11*C38))</f>
        <v/>
      </c>
      <c r="I38" s="24">
        <f>IF(C38="","",EXP(LN(Params!$B$5)-Params!$D$11*NORMINV(Params!$B$20,0,1)+Params!$D$11*C38))</f>
        <v/>
      </c>
    </row>
    <row r="39">
      <c r="A39" t="n">
        <v>37</v>
      </c>
      <c r="B39">
        <f>IF(A39&lt;=Params!$B$6, MIN(A39/Params!$B$6, 0.9999), "")</f>
        <v/>
      </c>
      <c r="C39">
        <f>IF(B39="", "", NORMINV(B39,0,1))</f>
        <v/>
      </c>
      <c r="D39">
        <f>IF(C39="","",(Params!$B$5/(1+Params!$B$10*NORMINV(Params!$B$15,0,1)))*(1+Params!$B$10*C39))</f>
        <v/>
      </c>
      <c r="E39">
        <f>IF(C39="","",(Params!$B$5/(1+Params!$C$10*NORMINV(Params!$B$16,0,1)))*(1+Params!$C$10*C39))</f>
        <v/>
      </c>
      <c r="F39">
        <f>IF(C39="","",(Params!$B$5/(1+Params!$D$10*NORMINV(Params!$B$17,0,1)))*(1+Params!$D$10*C39))</f>
        <v/>
      </c>
      <c r="G39">
        <f>IF(C39="","",EXP(LN(Params!$B$5)-Params!$B$11*NORMINV(Params!$B$18,0,1)+Params!$B$11*C39))</f>
        <v/>
      </c>
      <c r="H39">
        <f>IF(C39="","",EXP(LN(Params!$B$5)-Params!$C$11*NORMINV(Params!$B$19,0,1)+Params!$C$11*C39))</f>
        <v/>
      </c>
      <c r="I39">
        <f>IF(C39="","",EXP(LN(Params!$B$5)-Params!$D$11*NORMINV(Params!$B$20,0,1)+Params!$D$11*C39))</f>
        <v/>
      </c>
    </row>
    <row r="40">
      <c r="A40" s="24" t="n">
        <v>38</v>
      </c>
      <c r="B40" s="24">
        <f>IF(A40&lt;=Params!$B$6, MIN(A40/Params!$B$6, 0.9999), "")</f>
        <v/>
      </c>
      <c r="C40" s="24">
        <f>IF(B40="", "", NORMINV(B40,0,1))</f>
        <v/>
      </c>
      <c r="D40" s="24">
        <f>IF(C40="","",(Params!$B$5/(1+Params!$B$10*NORMINV(Params!$B$15,0,1)))*(1+Params!$B$10*C40))</f>
        <v/>
      </c>
      <c r="E40" s="24">
        <f>IF(C40="","",(Params!$B$5/(1+Params!$C$10*NORMINV(Params!$B$16,0,1)))*(1+Params!$C$10*C40))</f>
        <v/>
      </c>
      <c r="F40" s="24">
        <f>IF(C40="","",(Params!$B$5/(1+Params!$D$10*NORMINV(Params!$B$17,0,1)))*(1+Params!$D$10*C40))</f>
        <v/>
      </c>
      <c r="G40" s="24">
        <f>IF(C40="","",EXP(LN(Params!$B$5)-Params!$B$11*NORMINV(Params!$B$18,0,1)+Params!$B$11*C40))</f>
        <v/>
      </c>
      <c r="H40" s="24">
        <f>IF(C40="","",EXP(LN(Params!$B$5)-Params!$C$11*NORMINV(Params!$B$19,0,1)+Params!$C$11*C40))</f>
        <v/>
      </c>
      <c r="I40" s="24">
        <f>IF(C40="","",EXP(LN(Params!$B$5)-Params!$D$11*NORMINV(Params!$B$20,0,1)+Params!$D$11*C40))</f>
        <v/>
      </c>
    </row>
    <row r="41">
      <c r="A41" t="n">
        <v>39</v>
      </c>
      <c r="B41">
        <f>IF(A41&lt;=Params!$B$6, MIN(A41/Params!$B$6, 0.9999), "")</f>
        <v/>
      </c>
      <c r="C41">
        <f>IF(B41="", "", NORMINV(B41,0,1))</f>
        <v/>
      </c>
      <c r="D41">
        <f>IF(C41="","",(Params!$B$5/(1+Params!$B$10*NORMINV(Params!$B$15,0,1)))*(1+Params!$B$10*C41))</f>
        <v/>
      </c>
      <c r="E41">
        <f>IF(C41="","",(Params!$B$5/(1+Params!$C$10*NORMINV(Params!$B$16,0,1)))*(1+Params!$C$10*C41))</f>
        <v/>
      </c>
      <c r="F41">
        <f>IF(C41="","",(Params!$B$5/(1+Params!$D$10*NORMINV(Params!$B$17,0,1)))*(1+Params!$D$10*C41))</f>
        <v/>
      </c>
      <c r="G41">
        <f>IF(C41="","",EXP(LN(Params!$B$5)-Params!$B$11*NORMINV(Params!$B$18,0,1)+Params!$B$11*C41))</f>
        <v/>
      </c>
      <c r="H41">
        <f>IF(C41="","",EXP(LN(Params!$B$5)-Params!$C$11*NORMINV(Params!$B$19,0,1)+Params!$C$11*C41))</f>
        <v/>
      </c>
      <c r="I41">
        <f>IF(C41="","",EXP(LN(Params!$B$5)-Params!$D$11*NORMINV(Params!$B$20,0,1)+Params!$D$11*C41))</f>
        <v/>
      </c>
    </row>
    <row r="42">
      <c r="A42" s="24" t="n">
        <v>40</v>
      </c>
      <c r="B42" s="24">
        <f>IF(A42&lt;=Params!$B$6, MIN(A42/Params!$B$6, 0.9999), "")</f>
        <v/>
      </c>
      <c r="C42" s="24">
        <f>IF(B42="", "", NORMINV(B42,0,1))</f>
        <v/>
      </c>
      <c r="D42" s="24">
        <f>IF(C42="","",(Params!$B$5/(1+Params!$B$10*NORMINV(Params!$B$15,0,1)))*(1+Params!$B$10*C42))</f>
        <v/>
      </c>
      <c r="E42" s="24">
        <f>IF(C42="","",(Params!$B$5/(1+Params!$C$10*NORMINV(Params!$B$16,0,1)))*(1+Params!$C$10*C42))</f>
        <v/>
      </c>
      <c r="F42" s="24">
        <f>IF(C42="","",(Params!$B$5/(1+Params!$D$10*NORMINV(Params!$B$17,0,1)))*(1+Params!$D$10*C42))</f>
        <v/>
      </c>
      <c r="G42" s="24">
        <f>IF(C42="","",EXP(LN(Params!$B$5)-Params!$B$11*NORMINV(Params!$B$18,0,1)+Params!$B$11*C42))</f>
        <v/>
      </c>
      <c r="H42" s="24">
        <f>IF(C42="","",EXP(LN(Params!$B$5)-Params!$C$11*NORMINV(Params!$B$19,0,1)+Params!$C$11*C42))</f>
        <v/>
      </c>
      <c r="I42" s="24">
        <f>IF(C42="","",EXP(LN(Params!$B$5)-Params!$D$11*NORMINV(Params!$B$20,0,1)+Params!$D$11*C42))</f>
        <v/>
      </c>
    </row>
    <row r="43">
      <c r="A43" t="n">
        <v>41</v>
      </c>
      <c r="B43">
        <f>IF(A43&lt;=Params!$B$6, MIN(A43/Params!$B$6, 0.9999), "")</f>
        <v/>
      </c>
      <c r="C43">
        <f>IF(B43="", "", NORMINV(B43,0,1))</f>
        <v/>
      </c>
      <c r="D43">
        <f>IF(C43="","",(Params!$B$5/(1+Params!$B$10*NORMINV(Params!$B$15,0,1)))*(1+Params!$B$10*C43))</f>
        <v/>
      </c>
      <c r="E43">
        <f>IF(C43="","",(Params!$B$5/(1+Params!$C$10*NORMINV(Params!$B$16,0,1)))*(1+Params!$C$10*C43))</f>
        <v/>
      </c>
      <c r="F43">
        <f>IF(C43="","",(Params!$B$5/(1+Params!$D$10*NORMINV(Params!$B$17,0,1)))*(1+Params!$D$10*C43))</f>
        <v/>
      </c>
      <c r="G43">
        <f>IF(C43="","",EXP(LN(Params!$B$5)-Params!$B$11*NORMINV(Params!$B$18,0,1)+Params!$B$11*C43))</f>
        <v/>
      </c>
      <c r="H43">
        <f>IF(C43="","",EXP(LN(Params!$B$5)-Params!$C$11*NORMINV(Params!$B$19,0,1)+Params!$C$11*C43))</f>
        <v/>
      </c>
      <c r="I43">
        <f>IF(C43="","",EXP(LN(Params!$B$5)-Params!$D$11*NORMINV(Params!$B$20,0,1)+Params!$D$11*C43))</f>
        <v/>
      </c>
    </row>
    <row r="44">
      <c r="A44" s="24" t="n">
        <v>42</v>
      </c>
      <c r="B44" s="24">
        <f>IF(A44&lt;=Params!$B$6, MIN(A44/Params!$B$6, 0.9999), "")</f>
        <v/>
      </c>
      <c r="C44" s="24">
        <f>IF(B44="", "", NORMINV(B44,0,1))</f>
        <v/>
      </c>
      <c r="D44" s="24">
        <f>IF(C44="","",(Params!$B$5/(1+Params!$B$10*NORMINV(Params!$B$15,0,1)))*(1+Params!$B$10*C44))</f>
        <v/>
      </c>
      <c r="E44" s="24">
        <f>IF(C44="","",(Params!$B$5/(1+Params!$C$10*NORMINV(Params!$B$16,0,1)))*(1+Params!$C$10*C44))</f>
        <v/>
      </c>
      <c r="F44" s="24">
        <f>IF(C44="","",(Params!$B$5/(1+Params!$D$10*NORMINV(Params!$B$17,0,1)))*(1+Params!$D$10*C44))</f>
        <v/>
      </c>
      <c r="G44" s="24">
        <f>IF(C44="","",EXP(LN(Params!$B$5)-Params!$B$11*NORMINV(Params!$B$18,0,1)+Params!$B$11*C44))</f>
        <v/>
      </c>
      <c r="H44" s="24">
        <f>IF(C44="","",EXP(LN(Params!$B$5)-Params!$C$11*NORMINV(Params!$B$19,0,1)+Params!$C$11*C44))</f>
        <v/>
      </c>
      <c r="I44" s="24">
        <f>IF(C44="","",EXP(LN(Params!$B$5)-Params!$D$11*NORMINV(Params!$B$20,0,1)+Params!$D$11*C44))</f>
        <v/>
      </c>
    </row>
    <row r="45">
      <c r="A45" t="n">
        <v>43</v>
      </c>
      <c r="B45">
        <f>IF(A45&lt;=Params!$B$6, MIN(A45/Params!$B$6, 0.9999), "")</f>
        <v/>
      </c>
      <c r="C45">
        <f>IF(B45="", "", NORMINV(B45,0,1))</f>
        <v/>
      </c>
      <c r="D45">
        <f>IF(C45="","",(Params!$B$5/(1+Params!$B$10*NORMINV(Params!$B$15,0,1)))*(1+Params!$B$10*C45))</f>
        <v/>
      </c>
      <c r="E45">
        <f>IF(C45="","",(Params!$B$5/(1+Params!$C$10*NORMINV(Params!$B$16,0,1)))*(1+Params!$C$10*C45))</f>
        <v/>
      </c>
      <c r="F45">
        <f>IF(C45="","",(Params!$B$5/(1+Params!$D$10*NORMINV(Params!$B$17,0,1)))*(1+Params!$D$10*C45))</f>
        <v/>
      </c>
      <c r="G45">
        <f>IF(C45="","",EXP(LN(Params!$B$5)-Params!$B$11*NORMINV(Params!$B$18,0,1)+Params!$B$11*C45))</f>
        <v/>
      </c>
      <c r="H45">
        <f>IF(C45="","",EXP(LN(Params!$B$5)-Params!$C$11*NORMINV(Params!$B$19,0,1)+Params!$C$11*C45))</f>
        <v/>
      </c>
      <c r="I45">
        <f>IF(C45="","",EXP(LN(Params!$B$5)-Params!$D$11*NORMINV(Params!$B$20,0,1)+Params!$D$11*C45))</f>
        <v/>
      </c>
    </row>
    <row r="46">
      <c r="A46" s="24" t="n">
        <v>44</v>
      </c>
      <c r="B46" s="24">
        <f>IF(A46&lt;=Params!$B$6, MIN(A46/Params!$B$6, 0.9999), "")</f>
        <v/>
      </c>
      <c r="C46" s="24">
        <f>IF(B46="", "", NORMINV(B46,0,1))</f>
        <v/>
      </c>
      <c r="D46" s="24">
        <f>IF(C46="","",(Params!$B$5/(1+Params!$B$10*NORMINV(Params!$B$15,0,1)))*(1+Params!$B$10*C46))</f>
        <v/>
      </c>
      <c r="E46" s="24">
        <f>IF(C46="","",(Params!$B$5/(1+Params!$C$10*NORMINV(Params!$B$16,0,1)))*(1+Params!$C$10*C46))</f>
        <v/>
      </c>
      <c r="F46" s="24">
        <f>IF(C46="","",(Params!$B$5/(1+Params!$D$10*NORMINV(Params!$B$17,0,1)))*(1+Params!$D$10*C46))</f>
        <v/>
      </c>
      <c r="G46" s="24">
        <f>IF(C46="","",EXP(LN(Params!$B$5)-Params!$B$11*NORMINV(Params!$B$18,0,1)+Params!$B$11*C46))</f>
        <v/>
      </c>
      <c r="H46" s="24">
        <f>IF(C46="","",EXP(LN(Params!$B$5)-Params!$C$11*NORMINV(Params!$B$19,0,1)+Params!$C$11*C46))</f>
        <v/>
      </c>
      <c r="I46" s="24">
        <f>IF(C46="","",EXP(LN(Params!$B$5)-Params!$D$11*NORMINV(Params!$B$20,0,1)+Params!$D$11*C46))</f>
        <v/>
      </c>
    </row>
    <row r="47">
      <c r="A47" t="n">
        <v>45</v>
      </c>
      <c r="B47">
        <f>IF(A47&lt;=Params!$B$6, MIN(A47/Params!$B$6, 0.9999), "")</f>
        <v/>
      </c>
      <c r="C47">
        <f>IF(B47="", "", NORMINV(B47,0,1))</f>
        <v/>
      </c>
      <c r="D47">
        <f>IF(C47="","",(Params!$B$5/(1+Params!$B$10*NORMINV(Params!$B$15,0,1)))*(1+Params!$B$10*C47))</f>
        <v/>
      </c>
      <c r="E47">
        <f>IF(C47="","",(Params!$B$5/(1+Params!$C$10*NORMINV(Params!$B$16,0,1)))*(1+Params!$C$10*C47))</f>
        <v/>
      </c>
      <c r="F47">
        <f>IF(C47="","",(Params!$B$5/(1+Params!$D$10*NORMINV(Params!$B$17,0,1)))*(1+Params!$D$10*C47))</f>
        <v/>
      </c>
      <c r="G47">
        <f>IF(C47="","",EXP(LN(Params!$B$5)-Params!$B$11*NORMINV(Params!$B$18,0,1)+Params!$B$11*C47))</f>
        <v/>
      </c>
      <c r="H47">
        <f>IF(C47="","",EXP(LN(Params!$B$5)-Params!$C$11*NORMINV(Params!$B$19,0,1)+Params!$C$11*C47))</f>
        <v/>
      </c>
      <c r="I47">
        <f>IF(C47="","",EXP(LN(Params!$B$5)-Params!$D$11*NORMINV(Params!$B$20,0,1)+Params!$D$11*C47))</f>
        <v/>
      </c>
    </row>
    <row r="48">
      <c r="A48" s="24" t="n">
        <v>46</v>
      </c>
      <c r="B48" s="24">
        <f>IF(A48&lt;=Params!$B$6, MIN(A48/Params!$B$6, 0.9999), "")</f>
        <v/>
      </c>
      <c r="C48" s="24">
        <f>IF(B48="", "", NORMINV(B48,0,1))</f>
        <v/>
      </c>
      <c r="D48" s="24">
        <f>IF(C48="","",(Params!$B$5/(1+Params!$B$10*NORMINV(Params!$B$15,0,1)))*(1+Params!$B$10*C48))</f>
        <v/>
      </c>
      <c r="E48" s="24">
        <f>IF(C48="","",(Params!$B$5/(1+Params!$C$10*NORMINV(Params!$B$16,0,1)))*(1+Params!$C$10*C48))</f>
        <v/>
      </c>
      <c r="F48" s="24">
        <f>IF(C48="","",(Params!$B$5/(1+Params!$D$10*NORMINV(Params!$B$17,0,1)))*(1+Params!$D$10*C48))</f>
        <v/>
      </c>
      <c r="G48" s="24">
        <f>IF(C48="","",EXP(LN(Params!$B$5)-Params!$B$11*NORMINV(Params!$B$18,0,1)+Params!$B$11*C48))</f>
        <v/>
      </c>
      <c r="H48" s="24">
        <f>IF(C48="","",EXP(LN(Params!$B$5)-Params!$C$11*NORMINV(Params!$B$19,0,1)+Params!$C$11*C48))</f>
        <v/>
      </c>
      <c r="I48" s="24">
        <f>IF(C48="","",EXP(LN(Params!$B$5)-Params!$D$11*NORMINV(Params!$B$20,0,1)+Params!$D$11*C48))</f>
        <v/>
      </c>
    </row>
    <row r="49">
      <c r="A49" t="n">
        <v>47</v>
      </c>
      <c r="B49">
        <f>IF(A49&lt;=Params!$B$6, MIN(A49/Params!$B$6, 0.9999), "")</f>
        <v/>
      </c>
      <c r="C49">
        <f>IF(B49="", "", NORMINV(B49,0,1))</f>
        <v/>
      </c>
      <c r="D49">
        <f>IF(C49="","",(Params!$B$5/(1+Params!$B$10*NORMINV(Params!$B$15,0,1)))*(1+Params!$B$10*C49))</f>
        <v/>
      </c>
      <c r="E49">
        <f>IF(C49="","",(Params!$B$5/(1+Params!$C$10*NORMINV(Params!$B$16,0,1)))*(1+Params!$C$10*C49))</f>
        <v/>
      </c>
      <c r="F49">
        <f>IF(C49="","",(Params!$B$5/(1+Params!$D$10*NORMINV(Params!$B$17,0,1)))*(1+Params!$D$10*C49))</f>
        <v/>
      </c>
      <c r="G49">
        <f>IF(C49="","",EXP(LN(Params!$B$5)-Params!$B$11*NORMINV(Params!$B$18,0,1)+Params!$B$11*C49))</f>
        <v/>
      </c>
      <c r="H49">
        <f>IF(C49="","",EXP(LN(Params!$B$5)-Params!$C$11*NORMINV(Params!$B$19,0,1)+Params!$C$11*C49))</f>
        <v/>
      </c>
      <c r="I49">
        <f>IF(C49="","",EXP(LN(Params!$B$5)-Params!$D$11*NORMINV(Params!$B$20,0,1)+Params!$D$11*C49))</f>
        <v/>
      </c>
    </row>
    <row r="50">
      <c r="A50" s="24" t="n">
        <v>48</v>
      </c>
      <c r="B50" s="24">
        <f>IF(A50&lt;=Params!$B$6, MIN(A50/Params!$B$6, 0.9999), "")</f>
        <v/>
      </c>
      <c r="C50" s="24">
        <f>IF(B50="", "", NORMINV(B50,0,1))</f>
        <v/>
      </c>
      <c r="D50" s="24">
        <f>IF(C50="","",(Params!$B$5/(1+Params!$B$10*NORMINV(Params!$B$15,0,1)))*(1+Params!$B$10*C50))</f>
        <v/>
      </c>
      <c r="E50" s="24">
        <f>IF(C50="","",(Params!$B$5/(1+Params!$C$10*NORMINV(Params!$B$16,0,1)))*(1+Params!$C$10*C50))</f>
        <v/>
      </c>
      <c r="F50" s="24">
        <f>IF(C50="","",(Params!$B$5/(1+Params!$D$10*NORMINV(Params!$B$17,0,1)))*(1+Params!$D$10*C50))</f>
        <v/>
      </c>
      <c r="G50" s="24">
        <f>IF(C50="","",EXP(LN(Params!$B$5)-Params!$B$11*NORMINV(Params!$B$18,0,1)+Params!$B$11*C50))</f>
        <v/>
      </c>
      <c r="H50" s="24">
        <f>IF(C50="","",EXP(LN(Params!$B$5)-Params!$C$11*NORMINV(Params!$B$19,0,1)+Params!$C$11*C50))</f>
        <v/>
      </c>
      <c r="I50" s="24">
        <f>IF(C50="","",EXP(LN(Params!$B$5)-Params!$D$11*NORMINV(Params!$B$20,0,1)+Params!$D$11*C50))</f>
        <v/>
      </c>
    </row>
    <row r="51">
      <c r="A51" t="n">
        <v>49</v>
      </c>
      <c r="B51">
        <f>IF(A51&lt;=Params!$B$6, MIN(A51/Params!$B$6, 0.9999), "")</f>
        <v/>
      </c>
      <c r="C51">
        <f>IF(B51="", "", NORMINV(B51,0,1))</f>
        <v/>
      </c>
      <c r="D51">
        <f>IF(C51="","",(Params!$B$5/(1+Params!$B$10*NORMINV(Params!$B$15,0,1)))*(1+Params!$B$10*C51))</f>
        <v/>
      </c>
      <c r="E51">
        <f>IF(C51="","",(Params!$B$5/(1+Params!$C$10*NORMINV(Params!$B$16,0,1)))*(1+Params!$C$10*C51))</f>
        <v/>
      </c>
      <c r="F51">
        <f>IF(C51="","",(Params!$B$5/(1+Params!$D$10*NORMINV(Params!$B$17,0,1)))*(1+Params!$D$10*C51))</f>
        <v/>
      </c>
      <c r="G51">
        <f>IF(C51="","",EXP(LN(Params!$B$5)-Params!$B$11*NORMINV(Params!$B$18,0,1)+Params!$B$11*C51))</f>
        <v/>
      </c>
      <c r="H51">
        <f>IF(C51="","",EXP(LN(Params!$B$5)-Params!$C$11*NORMINV(Params!$B$19,0,1)+Params!$C$11*C51))</f>
        <v/>
      </c>
      <c r="I51">
        <f>IF(C51="","",EXP(LN(Params!$B$5)-Params!$D$11*NORMINV(Params!$B$20,0,1)+Params!$D$11*C51))</f>
        <v/>
      </c>
    </row>
    <row r="52">
      <c r="A52" s="24" t="n">
        <v>50</v>
      </c>
      <c r="B52" s="24">
        <f>IF(A52&lt;=Params!$B$6, MIN(A52/Params!$B$6, 0.9999), "")</f>
        <v/>
      </c>
      <c r="C52" s="24">
        <f>IF(B52="", "", NORMINV(B52,0,1))</f>
        <v/>
      </c>
      <c r="D52" s="24">
        <f>IF(C52="","",(Params!$B$5/(1+Params!$B$10*NORMINV(Params!$B$15,0,1)))*(1+Params!$B$10*C52))</f>
        <v/>
      </c>
      <c r="E52" s="24">
        <f>IF(C52="","",(Params!$B$5/(1+Params!$C$10*NORMINV(Params!$B$16,0,1)))*(1+Params!$C$10*C52))</f>
        <v/>
      </c>
      <c r="F52" s="24">
        <f>IF(C52="","",(Params!$B$5/(1+Params!$D$10*NORMINV(Params!$B$17,0,1)))*(1+Params!$D$10*C52))</f>
        <v/>
      </c>
      <c r="G52" s="24">
        <f>IF(C52="","",EXP(LN(Params!$B$5)-Params!$B$11*NORMINV(Params!$B$18,0,1)+Params!$B$11*C52))</f>
        <v/>
      </c>
      <c r="H52" s="24">
        <f>IF(C52="","",EXP(LN(Params!$B$5)-Params!$C$11*NORMINV(Params!$B$19,0,1)+Params!$C$11*C52))</f>
        <v/>
      </c>
      <c r="I52" s="24">
        <f>IF(C52="","",EXP(LN(Params!$B$5)-Params!$D$11*NORMINV(Params!$B$20,0,1)+Params!$D$11*C52))</f>
        <v/>
      </c>
    </row>
    <row r="53">
      <c r="A53" t="n">
        <v>51</v>
      </c>
      <c r="B53">
        <f>IF(A53&lt;=Params!$B$6, MIN(A53/Params!$B$6, 0.9999), "")</f>
        <v/>
      </c>
      <c r="C53">
        <f>IF(B53="", "", NORMINV(B53,0,1))</f>
        <v/>
      </c>
      <c r="D53">
        <f>IF(C53="","",(Params!$B$5/(1+Params!$B$10*NORMINV(Params!$B$15,0,1)))*(1+Params!$B$10*C53))</f>
        <v/>
      </c>
      <c r="E53">
        <f>IF(C53="","",(Params!$B$5/(1+Params!$C$10*NORMINV(Params!$B$16,0,1)))*(1+Params!$C$10*C53))</f>
        <v/>
      </c>
      <c r="F53">
        <f>IF(C53="","",(Params!$B$5/(1+Params!$D$10*NORMINV(Params!$B$17,0,1)))*(1+Params!$D$10*C53))</f>
        <v/>
      </c>
      <c r="G53">
        <f>IF(C53="","",EXP(LN(Params!$B$5)-Params!$B$11*NORMINV(Params!$B$18,0,1)+Params!$B$11*C53))</f>
        <v/>
      </c>
      <c r="H53">
        <f>IF(C53="","",EXP(LN(Params!$B$5)-Params!$C$11*NORMINV(Params!$B$19,0,1)+Params!$C$11*C53))</f>
        <v/>
      </c>
      <c r="I53">
        <f>IF(C53="","",EXP(LN(Params!$B$5)-Params!$D$11*NORMINV(Params!$B$20,0,1)+Params!$D$11*C53))</f>
        <v/>
      </c>
    </row>
    <row r="54">
      <c r="A54" s="24" t="n">
        <v>52</v>
      </c>
      <c r="B54" s="24">
        <f>IF(A54&lt;=Params!$B$6, MIN(A54/Params!$B$6, 0.9999), "")</f>
        <v/>
      </c>
      <c r="C54" s="24">
        <f>IF(B54="", "", NORMINV(B54,0,1))</f>
        <v/>
      </c>
      <c r="D54" s="24">
        <f>IF(C54="","",(Params!$B$5/(1+Params!$B$10*NORMINV(Params!$B$15,0,1)))*(1+Params!$B$10*C54))</f>
        <v/>
      </c>
      <c r="E54" s="24">
        <f>IF(C54="","",(Params!$B$5/(1+Params!$C$10*NORMINV(Params!$B$16,0,1)))*(1+Params!$C$10*C54))</f>
        <v/>
      </c>
      <c r="F54" s="24">
        <f>IF(C54="","",(Params!$B$5/(1+Params!$D$10*NORMINV(Params!$B$17,0,1)))*(1+Params!$D$10*C54))</f>
        <v/>
      </c>
      <c r="G54" s="24">
        <f>IF(C54="","",EXP(LN(Params!$B$5)-Params!$B$11*NORMINV(Params!$B$18,0,1)+Params!$B$11*C54))</f>
        <v/>
      </c>
      <c r="H54" s="24">
        <f>IF(C54="","",EXP(LN(Params!$B$5)-Params!$C$11*NORMINV(Params!$B$19,0,1)+Params!$C$11*C54))</f>
        <v/>
      </c>
      <c r="I54" s="24">
        <f>IF(C54="","",EXP(LN(Params!$B$5)-Params!$D$11*NORMINV(Params!$B$20,0,1)+Params!$D$11*C54))</f>
        <v/>
      </c>
    </row>
    <row r="55">
      <c r="A55" t="n">
        <v>53</v>
      </c>
      <c r="B55">
        <f>IF(A55&lt;=Params!$B$6, MIN(A55/Params!$B$6, 0.9999), "")</f>
        <v/>
      </c>
      <c r="C55">
        <f>IF(B55="", "", NORMINV(B55,0,1))</f>
        <v/>
      </c>
      <c r="D55">
        <f>IF(C55="","",(Params!$B$5/(1+Params!$B$10*NORMINV(Params!$B$15,0,1)))*(1+Params!$B$10*C55))</f>
        <v/>
      </c>
      <c r="E55">
        <f>IF(C55="","",(Params!$B$5/(1+Params!$C$10*NORMINV(Params!$B$16,0,1)))*(1+Params!$C$10*C55))</f>
        <v/>
      </c>
      <c r="F55">
        <f>IF(C55="","",(Params!$B$5/(1+Params!$D$10*NORMINV(Params!$B$17,0,1)))*(1+Params!$D$10*C55))</f>
        <v/>
      </c>
      <c r="G55">
        <f>IF(C55="","",EXP(LN(Params!$B$5)-Params!$B$11*NORMINV(Params!$B$18,0,1)+Params!$B$11*C55))</f>
        <v/>
      </c>
      <c r="H55">
        <f>IF(C55="","",EXP(LN(Params!$B$5)-Params!$C$11*NORMINV(Params!$B$19,0,1)+Params!$C$11*C55))</f>
        <v/>
      </c>
      <c r="I55">
        <f>IF(C55="","",EXP(LN(Params!$B$5)-Params!$D$11*NORMINV(Params!$B$20,0,1)+Params!$D$11*C55))</f>
        <v/>
      </c>
    </row>
    <row r="56">
      <c r="A56" s="24" t="n">
        <v>54</v>
      </c>
      <c r="B56" s="24">
        <f>IF(A56&lt;=Params!$B$6, MIN(A56/Params!$B$6, 0.9999), "")</f>
        <v/>
      </c>
      <c r="C56" s="24">
        <f>IF(B56="", "", NORMINV(B56,0,1))</f>
        <v/>
      </c>
      <c r="D56" s="24">
        <f>IF(C56="","",(Params!$B$5/(1+Params!$B$10*NORMINV(Params!$B$15,0,1)))*(1+Params!$B$10*C56))</f>
        <v/>
      </c>
      <c r="E56" s="24">
        <f>IF(C56="","",(Params!$B$5/(1+Params!$C$10*NORMINV(Params!$B$16,0,1)))*(1+Params!$C$10*C56))</f>
        <v/>
      </c>
      <c r="F56" s="24">
        <f>IF(C56="","",(Params!$B$5/(1+Params!$D$10*NORMINV(Params!$B$17,0,1)))*(1+Params!$D$10*C56))</f>
        <v/>
      </c>
      <c r="G56" s="24">
        <f>IF(C56="","",EXP(LN(Params!$B$5)-Params!$B$11*NORMINV(Params!$B$18,0,1)+Params!$B$11*C56))</f>
        <v/>
      </c>
      <c r="H56" s="24">
        <f>IF(C56="","",EXP(LN(Params!$B$5)-Params!$C$11*NORMINV(Params!$B$19,0,1)+Params!$C$11*C56))</f>
        <v/>
      </c>
      <c r="I56" s="24">
        <f>IF(C56="","",EXP(LN(Params!$B$5)-Params!$D$11*NORMINV(Params!$B$20,0,1)+Params!$D$11*C56))</f>
        <v/>
      </c>
    </row>
    <row r="57">
      <c r="A57" t="n">
        <v>55</v>
      </c>
      <c r="B57">
        <f>IF(A57&lt;=Params!$B$6, MIN(A57/Params!$B$6, 0.9999), "")</f>
        <v/>
      </c>
      <c r="C57">
        <f>IF(B57="", "", NORMINV(B57,0,1))</f>
        <v/>
      </c>
      <c r="D57">
        <f>IF(C57="","",(Params!$B$5/(1+Params!$B$10*NORMINV(Params!$B$15,0,1)))*(1+Params!$B$10*C57))</f>
        <v/>
      </c>
      <c r="E57">
        <f>IF(C57="","",(Params!$B$5/(1+Params!$C$10*NORMINV(Params!$B$16,0,1)))*(1+Params!$C$10*C57))</f>
        <v/>
      </c>
      <c r="F57">
        <f>IF(C57="","",(Params!$B$5/(1+Params!$D$10*NORMINV(Params!$B$17,0,1)))*(1+Params!$D$10*C57))</f>
        <v/>
      </c>
      <c r="G57">
        <f>IF(C57="","",EXP(LN(Params!$B$5)-Params!$B$11*NORMINV(Params!$B$18,0,1)+Params!$B$11*C57))</f>
        <v/>
      </c>
      <c r="H57">
        <f>IF(C57="","",EXP(LN(Params!$B$5)-Params!$C$11*NORMINV(Params!$B$19,0,1)+Params!$C$11*C57))</f>
        <v/>
      </c>
      <c r="I57">
        <f>IF(C57="","",EXP(LN(Params!$B$5)-Params!$D$11*NORMINV(Params!$B$20,0,1)+Params!$D$11*C57))</f>
        <v/>
      </c>
    </row>
    <row r="58">
      <c r="A58" s="24" t="n">
        <v>56</v>
      </c>
      <c r="B58" s="24">
        <f>IF(A58&lt;=Params!$B$6, MIN(A58/Params!$B$6, 0.9999), "")</f>
        <v/>
      </c>
      <c r="C58" s="24">
        <f>IF(B58="", "", NORMINV(B58,0,1))</f>
        <v/>
      </c>
      <c r="D58" s="24">
        <f>IF(C58="","",(Params!$B$5/(1+Params!$B$10*NORMINV(Params!$B$15,0,1)))*(1+Params!$B$10*C58))</f>
        <v/>
      </c>
      <c r="E58" s="24">
        <f>IF(C58="","",(Params!$B$5/(1+Params!$C$10*NORMINV(Params!$B$16,0,1)))*(1+Params!$C$10*C58))</f>
        <v/>
      </c>
      <c r="F58" s="24">
        <f>IF(C58="","",(Params!$B$5/(1+Params!$D$10*NORMINV(Params!$B$17,0,1)))*(1+Params!$D$10*C58))</f>
        <v/>
      </c>
      <c r="G58" s="24">
        <f>IF(C58="","",EXP(LN(Params!$B$5)-Params!$B$11*NORMINV(Params!$B$18,0,1)+Params!$B$11*C58))</f>
        <v/>
      </c>
      <c r="H58" s="24">
        <f>IF(C58="","",EXP(LN(Params!$B$5)-Params!$C$11*NORMINV(Params!$B$19,0,1)+Params!$C$11*C58))</f>
        <v/>
      </c>
      <c r="I58" s="24">
        <f>IF(C58="","",EXP(LN(Params!$B$5)-Params!$D$11*NORMINV(Params!$B$20,0,1)+Params!$D$11*C58))</f>
        <v/>
      </c>
    </row>
    <row r="59">
      <c r="A59" t="n">
        <v>57</v>
      </c>
      <c r="B59">
        <f>IF(A59&lt;=Params!$B$6, MIN(A59/Params!$B$6, 0.9999), "")</f>
        <v/>
      </c>
      <c r="C59">
        <f>IF(B59="", "", NORMINV(B59,0,1))</f>
        <v/>
      </c>
      <c r="D59">
        <f>IF(C59="","",(Params!$B$5/(1+Params!$B$10*NORMINV(Params!$B$15,0,1)))*(1+Params!$B$10*C59))</f>
        <v/>
      </c>
      <c r="E59">
        <f>IF(C59="","",(Params!$B$5/(1+Params!$C$10*NORMINV(Params!$B$16,0,1)))*(1+Params!$C$10*C59))</f>
        <v/>
      </c>
      <c r="F59">
        <f>IF(C59="","",(Params!$B$5/(1+Params!$D$10*NORMINV(Params!$B$17,0,1)))*(1+Params!$D$10*C59))</f>
        <v/>
      </c>
      <c r="G59">
        <f>IF(C59="","",EXP(LN(Params!$B$5)-Params!$B$11*NORMINV(Params!$B$18,0,1)+Params!$B$11*C59))</f>
        <v/>
      </c>
      <c r="H59">
        <f>IF(C59="","",EXP(LN(Params!$B$5)-Params!$C$11*NORMINV(Params!$B$19,0,1)+Params!$C$11*C59))</f>
        <v/>
      </c>
      <c r="I59">
        <f>IF(C59="","",EXP(LN(Params!$B$5)-Params!$D$11*NORMINV(Params!$B$20,0,1)+Params!$D$11*C59))</f>
        <v/>
      </c>
    </row>
    <row r="60">
      <c r="A60" s="24" t="n">
        <v>58</v>
      </c>
      <c r="B60" s="24">
        <f>IF(A60&lt;=Params!$B$6, MIN(A60/Params!$B$6, 0.9999), "")</f>
        <v/>
      </c>
      <c r="C60" s="24">
        <f>IF(B60="", "", NORMINV(B60,0,1))</f>
        <v/>
      </c>
      <c r="D60" s="24">
        <f>IF(C60="","",(Params!$B$5/(1+Params!$B$10*NORMINV(Params!$B$15,0,1)))*(1+Params!$B$10*C60))</f>
        <v/>
      </c>
      <c r="E60" s="24">
        <f>IF(C60="","",(Params!$B$5/(1+Params!$C$10*NORMINV(Params!$B$16,0,1)))*(1+Params!$C$10*C60))</f>
        <v/>
      </c>
      <c r="F60" s="24">
        <f>IF(C60="","",(Params!$B$5/(1+Params!$D$10*NORMINV(Params!$B$17,0,1)))*(1+Params!$D$10*C60))</f>
        <v/>
      </c>
      <c r="G60" s="24">
        <f>IF(C60="","",EXP(LN(Params!$B$5)-Params!$B$11*NORMINV(Params!$B$18,0,1)+Params!$B$11*C60))</f>
        <v/>
      </c>
      <c r="H60" s="24">
        <f>IF(C60="","",EXP(LN(Params!$B$5)-Params!$C$11*NORMINV(Params!$B$19,0,1)+Params!$C$11*C60))</f>
        <v/>
      </c>
      <c r="I60" s="24">
        <f>IF(C60="","",EXP(LN(Params!$B$5)-Params!$D$11*NORMINV(Params!$B$20,0,1)+Params!$D$11*C60))</f>
        <v/>
      </c>
    </row>
    <row r="61">
      <c r="A61" t="n">
        <v>59</v>
      </c>
      <c r="B61">
        <f>IF(A61&lt;=Params!$B$6, MIN(A61/Params!$B$6, 0.9999), "")</f>
        <v/>
      </c>
      <c r="C61">
        <f>IF(B61="", "", NORMINV(B61,0,1))</f>
        <v/>
      </c>
      <c r="D61">
        <f>IF(C61="","",(Params!$B$5/(1+Params!$B$10*NORMINV(Params!$B$15,0,1)))*(1+Params!$B$10*C61))</f>
        <v/>
      </c>
      <c r="E61">
        <f>IF(C61="","",(Params!$B$5/(1+Params!$C$10*NORMINV(Params!$B$16,0,1)))*(1+Params!$C$10*C61))</f>
        <v/>
      </c>
      <c r="F61">
        <f>IF(C61="","",(Params!$B$5/(1+Params!$D$10*NORMINV(Params!$B$17,0,1)))*(1+Params!$D$10*C61))</f>
        <v/>
      </c>
      <c r="G61">
        <f>IF(C61="","",EXP(LN(Params!$B$5)-Params!$B$11*NORMINV(Params!$B$18,0,1)+Params!$B$11*C61))</f>
        <v/>
      </c>
      <c r="H61">
        <f>IF(C61="","",EXP(LN(Params!$B$5)-Params!$C$11*NORMINV(Params!$B$19,0,1)+Params!$C$11*C61))</f>
        <v/>
      </c>
      <c r="I61">
        <f>IF(C61="","",EXP(LN(Params!$B$5)-Params!$D$11*NORMINV(Params!$B$20,0,1)+Params!$D$11*C61))</f>
        <v/>
      </c>
    </row>
    <row r="62">
      <c r="A62" s="24" t="n">
        <v>60</v>
      </c>
      <c r="B62" s="24">
        <f>IF(A62&lt;=Params!$B$6, MIN(A62/Params!$B$6, 0.9999), "")</f>
        <v/>
      </c>
      <c r="C62" s="24">
        <f>IF(B62="", "", NORMINV(B62,0,1))</f>
        <v/>
      </c>
      <c r="D62" s="24">
        <f>IF(C62="","",(Params!$B$5/(1+Params!$B$10*NORMINV(Params!$B$15,0,1)))*(1+Params!$B$10*C62))</f>
        <v/>
      </c>
      <c r="E62" s="24">
        <f>IF(C62="","",(Params!$B$5/(1+Params!$C$10*NORMINV(Params!$B$16,0,1)))*(1+Params!$C$10*C62))</f>
        <v/>
      </c>
      <c r="F62" s="24">
        <f>IF(C62="","",(Params!$B$5/(1+Params!$D$10*NORMINV(Params!$B$17,0,1)))*(1+Params!$D$10*C62))</f>
        <v/>
      </c>
      <c r="G62" s="24">
        <f>IF(C62="","",EXP(LN(Params!$B$5)-Params!$B$11*NORMINV(Params!$B$18,0,1)+Params!$B$11*C62))</f>
        <v/>
      </c>
      <c r="H62" s="24">
        <f>IF(C62="","",EXP(LN(Params!$B$5)-Params!$C$11*NORMINV(Params!$B$19,0,1)+Params!$C$11*C62))</f>
        <v/>
      </c>
      <c r="I62" s="24">
        <f>IF(C62="","",EXP(LN(Params!$B$5)-Params!$D$11*NORMINV(Params!$B$20,0,1)+Params!$D$11*C62))</f>
        <v/>
      </c>
    </row>
    <row r="63">
      <c r="A63" t="n">
        <v>61</v>
      </c>
      <c r="B63">
        <f>IF(A63&lt;=Params!$B$6, MIN(A63/Params!$B$6, 0.9999), "")</f>
        <v/>
      </c>
      <c r="C63">
        <f>IF(B63="", "", NORMINV(B63,0,1))</f>
        <v/>
      </c>
      <c r="D63">
        <f>IF(C63="","",(Params!$B$5/(1+Params!$B$10*NORMINV(Params!$B$15,0,1)))*(1+Params!$B$10*C63))</f>
        <v/>
      </c>
      <c r="E63">
        <f>IF(C63="","",(Params!$B$5/(1+Params!$C$10*NORMINV(Params!$B$16,0,1)))*(1+Params!$C$10*C63))</f>
        <v/>
      </c>
      <c r="F63">
        <f>IF(C63="","",(Params!$B$5/(1+Params!$D$10*NORMINV(Params!$B$17,0,1)))*(1+Params!$D$10*C63))</f>
        <v/>
      </c>
      <c r="G63">
        <f>IF(C63="","",EXP(LN(Params!$B$5)-Params!$B$11*NORMINV(Params!$B$18,0,1)+Params!$B$11*C63))</f>
        <v/>
      </c>
      <c r="H63">
        <f>IF(C63="","",EXP(LN(Params!$B$5)-Params!$C$11*NORMINV(Params!$B$19,0,1)+Params!$C$11*C63))</f>
        <v/>
      </c>
      <c r="I63">
        <f>IF(C63="","",EXP(LN(Params!$B$5)-Params!$D$11*NORMINV(Params!$B$20,0,1)+Params!$D$11*C63))</f>
        <v/>
      </c>
    </row>
    <row r="64">
      <c r="A64" s="24" t="n">
        <v>62</v>
      </c>
      <c r="B64" s="24">
        <f>IF(A64&lt;=Params!$B$6, MIN(A64/Params!$B$6, 0.9999), "")</f>
        <v/>
      </c>
      <c r="C64" s="24">
        <f>IF(B64="", "", NORMINV(B64,0,1))</f>
        <v/>
      </c>
      <c r="D64" s="24">
        <f>IF(C64="","",(Params!$B$5/(1+Params!$B$10*NORMINV(Params!$B$15,0,1)))*(1+Params!$B$10*C64))</f>
        <v/>
      </c>
      <c r="E64" s="24">
        <f>IF(C64="","",(Params!$B$5/(1+Params!$C$10*NORMINV(Params!$B$16,0,1)))*(1+Params!$C$10*C64))</f>
        <v/>
      </c>
      <c r="F64" s="24">
        <f>IF(C64="","",(Params!$B$5/(1+Params!$D$10*NORMINV(Params!$B$17,0,1)))*(1+Params!$D$10*C64))</f>
        <v/>
      </c>
      <c r="G64" s="24">
        <f>IF(C64="","",EXP(LN(Params!$B$5)-Params!$B$11*NORMINV(Params!$B$18,0,1)+Params!$B$11*C64))</f>
        <v/>
      </c>
      <c r="H64" s="24">
        <f>IF(C64="","",EXP(LN(Params!$B$5)-Params!$C$11*NORMINV(Params!$B$19,0,1)+Params!$C$11*C64))</f>
        <v/>
      </c>
      <c r="I64" s="24">
        <f>IF(C64="","",EXP(LN(Params!$B$5)-Params!$D$11*NORMINV(Params!$B$20,0,1)+Params!$D$11*C64))</f>
        <v/>
      </c>
    </row>
    <row r="65">
      <c r="A65" t="n">
        <v>63</v>
      </c>
      <c r="B65">
        <f>IF(A65&lt;=Params!$B$6, MIN(A65/Params!$B$6, 0.9999), "")</f>
        <v/>
      </c>
      <c r="C65">
        <f>IF(B65="", "", NORMINV(B65,0,1))</f>
        <v/>
      </c>
      <c r="D65">
        <f>IF(C65="","",(Params!$B$5/(1+Params!$B$10*NORMINV(Params!$B$15,0,1)))*(1+Params!$B$10*C65))</f>
        <v/>
      </c>
      <c r="E65">
        <f>IF(C65="","",(Params!$B$5/(1+Params!$C$10*NORMINV(Params!$B$16,0,1)))*(1+Params!$C$10*C65))</f>
        <v/>
      </c>
      <c r="F65">
        <f>IF(C65="","",(Params!$B$5/(1+Params!$D$10*NORMINV(Params!$B$17,0,1)))*(1+Params!$D$10*C65))</f>
        <v/>
      </c>
      <c r="G65">
        <f>IF(C65="","",EXP(LN(Params!$B$5)-Params!$B$11*NORMINV(Params!$B$18,0,1)+Params!$B$11*C65))</f>
        <v/>
      </c>
      <c r="H65">
        <f>IF(C65="","",EXP(LN(Params!$B$5)-Params!$C$11*NORMINV(Params!$B$19,0,1)+Params!$C$11*C65))</f>
        <v/>
      </c>
      <c r="I65">
        <f>IF(C65="","",EXP(LN(Params!$B$5)-Params!$D$11*NORMINV(Params!$B$20,0,1)+Params!$D$11*C65))</f>
        <v/>
      </c>
    </row>
    <row r="66">
      <c r="A66" s="24" t="n">
        <v>64</v>
      </c>
      <c r="B66" s="24">
        <f>IF(A66&lt;=Params!$B$6, MIN(A66/Params!$B$6, 0.9999), "")</f>
        <v/>
      </c>
      <c r="C66" s="24">
        <f>IF(B66="", "", NORMINV(B66,0,1))</f>
        <v/>
      </c>
      <c r="D66" s="24">
        <f>IF(C66="","",(Params!$B$5/(1+Params!$B$10*NORMINV(Params!$B$15,0,1)))*(1+Params!$B$10*C66))</f>
        <v/>
      </c>
      <c r="E66" s="24">
        <f>IF(C66="","",(Params!$B$5/(1+Params!$C$10*NORMINV(Params!$B$16,0,1)))*(1+Params!$C$10*C66))</f>
        <v/>
      </c>
      <c r="F66" s="24">
        <f>IF(C66="","",(Params!$B$5/(1+Params!$D$10*NORMINV(Params!$B$17,0,1)))*(1+Params!$D$10*C66))</f>
        <v/>
      </c>
      <c r="G66" s="24">
        <f>IF(C66="","",EXP(LN(Params!$B$5)-Params!$B$11*NORMINV(Params!$B$18,0,1)+Params!$B$11*C66))</f>
        <v/>
      </c>
      <c r="H66" s="24">
        <f>IF(C66="","",EXP(LN(Params!$B$5)-Params!$C$11*NORMINV(Params!$B$19,0,1)+Params!$C$11*C66))</f>
        <v/>
      </c>
      <c r="I66" s="24">
        <f>IF(C66="","",EXP(LN(Params!$B$5)-Params!$D$11*NORMINV(Params!$B$20,0,1)+Params!$D$11*C66))</f>
        <v/>
      </c>
    </row>
    <row r="67">
      <c r="A67" t="n">
        <v>65</v>
      </c>
      <c r="B67">
        <f>IF(A67&lt;=Params!$B$6, MIN(A67/Params!$B$6, 0.9999), "")</f>
        <v/>
      </c>
      <c r="C67">
        <f>IF(B67="", "", NORMINV(B67,0,1))</f>
        <v/>
      </c>
      <c r="D67">
        <f>IF(C67="","",(Params!$B$5/(1+Params!$B$10*NORMINV(Params!$B$15,0,1)))*(1+Params!$B$10*C67))</f>
        <v/>
      </c>
      <c r="E67">
        <f>IF(C67="","",(Params!$B$5/(1+Params!$C$10*NORMINV(Params!$B$16,0,1)))*(1+Params!$C$10*C67))</f>
        <v/>
      </c>
      <c r="F67">
        <f>IF(C67="","",(Params!$B$5/(1+Params!$D$10*NORMINV(Params!$B$17,0,1)))*(1+Params!$D$10*C67))</f>
        <v/>
      </c>
      <c r="G67">
        <f>IF(C67="","",EXP(LN(Params!$B$5)-Params!$B$11*NORMINV(Params!$B$18,0,1)+Params!$B$11*C67))</f>
        <v/>
      </c>
      <c r="H67">
        <f>IF(C67="","",EXP(LN(Params!$B$5)-Params!$C$11*NORMINV(Params!$B$19,0,1)+Params!$C$11*C67))</f>
        <v/>
      </c>
      <c r="I67">
        <f>IF(C67="","",EXP(LN(Params!$B$5)-Params!$D$11*NORMINV(Params!$B$20,0,1)+Params!$D$11*C67))</f>
        <v/>
      </c>
    </row>
    <row r="68">
      <c r="A68" s="24" t="n">
        <v>66</v>
      </c>
      <c r="B68" s="24">
        <f>IF(A68&lt;=Params!$B$6, MIN(A68/Params!$B$6, 0.9999), "")</f>
        <v/>
      </c>
      <c r="C68" s="24">
        <f>IF(B68="", "", NORMINV(B68,0,1))</f>
        <v/>
      </c>
      <c r="D68" s="24">
        <f>IF(C68="","",(Params!$B$5/(1+Params!$B$10*NORMINV(Params!$B$15,0,1)))*(1+Params!$B$10*C68))</f>
        <v/>
      </c>
      <c r="E68" s="24">
        <f>IF(C68="","",(Params!$B$5/(1+Params!$C$10*NORMINV(Params!$B$16,0,1)))*(1+Params!$C$10*C68))</f>
        <v/>
      </c>
      <c r="F68" s="24">
        <f>IF(C68="","",(Params!$B$5/(1+Params!$D$10*NORMINV(Params!$B$17,0,1)))*(1+Params!$D$10*C68))</f>
        <v/>
      </c>
      <c r="G68" s="24">
        <f>IF(C68="","",EXP(LN(Params!$B$5)-Params!$B$11*NORMINV(Params!$B$18,0,1)+Params!$B$11*C68))</f>
        <v/>
      </c>
      <c r="H68" s="24">
        <f>IF(C68="","",EXP(LN(Params!$B$5)-Params!$C$11*NORMINV(Params!$B$19,0,1)+Params!$C$11*C68))</f>
        <v/>
      </c>
      <c r="I68" s="24">
        <f>IF(C68="","",EXP(LN(Params!$B$5)-Params!$D$11*NORMINV(Params!$B$20,0,1)+Params!$D$11*C68))</f>
        <v/>
      </c>
    </row>
    <row r="69">
      <c r="A69" t="n">
        <v>67</v>
      </c>
      <c r="B69">
        <f>IF(A69&lt;=Params!$B$6, MIN(A69/Params!$B$6, 0.9999), "")</f>
        <v/>
      </c>
      <c r="C69">
        <f>IF(B69="", "", NORMINV(B69,0,1))</f>
        <v/>
      </c>
      <c r="D69">
        <f>IF(C69="","",(Params!$B$5/(1+Params!$B$10*NORMINV(Params!$B$15,0,1)))*(1+Params!$B$10*C69))</f>
        <v/>
      </c>
      <c r="E69">
        <f>IF(C69="","",(Params!$B$5/(1+Params!$C$10*NORMINV(Params!$B$16,0,1)))*(1+Params!$C$10*C69))</f>
        <v/>
      </c>
      <c r="F69">
        <f>IF(C69="","",(Params!$B$5/(1+Params!$D$10*NORMINV(Params!$B$17,0,1)))*(1+Params!$D$10*C69))</f>
        <v/>
      </c>
      <c r="G69">
        <f>IF(C69="","",EXP(LN(Params!$B$5)-Params!$B$11*NORMINV(Params!$B$18,0,1)+Params!$B$11*C69))</f>
        <v/>
      </c>
      <c r="H69">
        <f>IF(C69="","",EXP(LN(Params!$B$5)-Params!$C$11*NORMINV(Params!$B$19,0,1)+Params!$C$11*C69))</f>
        <v/>
      </c>
      <c r="I69">
        <f>IF(C69="","",EXP(LN(Params!$B$5)-Params!$D$11*NORMINV(Params!$B$20,0,1)+Params!$D$11*C69))</f>
        <v/>
      </c>
    </row>
    <row r="70">
      <c r="A70" s="24" t="n">
        <v>68</v>
      </c>
      <c r="B70" s="24">
        <f>IF(A70&lt;=Params!$B$6, MIN(A70/Params!$B$6, 0.9999), "")</f>
        <v/>
      </c>
      <c r="C70" s="24">
        <f>IF(B70="", "", NORMINV(B70,0,1))</f>
        <v/>
      </c>
      <c r="D70" s="24">
        <f>IF(C70="","",(Params!$B$5/(1+Params!$B$10*NORMINV(Params!$B$15,0,1)))*(1+Params!$B$10*C70))</f>
        <v/>
      </c>
      <c r="E70" s="24">
        <f>IF(C70="","",(Params!$B$5/(1+Params!$C$10*NORMINV(Params!$B$16,0,1)))*(1+Params!$C$10*C70))</f>
        <v/>
      </c>
      <c r="F70" s="24">
        <f>IF(C70="","",(Params!$B$5/(1+Params!$D$10*NORMINV(Params!$B$17,0,1)))*(1+Params!$D$10*C70))</f>
        <v/>
      </c>
      <c r="G70" s="24">
        <f>IF(C70="","",EXP(LN(Params!$B$5)-Params!$B$11*NORMINV(Params!$B$18,0,1)+Params!$B$11*C70))</f>
        <v/>
      </c>
      <c r="H70" s="24">
        <f>IF(C70="","",EXP(LN(Params!$B$5)-Params!$C$11*NORMINV(Params!$B$19,0,1)+Params!$C$11*C70))</f>
        <v/>
      </c>
      <c r="I70" s="24">
        <f>IF(C70="","",EXP(LN(Params!$B$5)-Params!$D$11*NORMINV(Params!$B$20,0,1)+Params!$D$11*C70))</f>
        <v/>
      </c>
    </row>
    <row r="71">
      <c r="A71" t="n">
        <v>69</v>
      </c>
      <c r="B71">
        <f>IF(A71&lt;=Params!$B$6, MIN(A71/Params!$B$6, 0.9999), "")</f>
        <v/>
      </c>
      <c r="C71">
        <f>IF(B71="", "", NORMINV(B71,0,1))</f>
        <v/>
      </c>
      <c r="D71">
        <f>IF(C71="","",(Params!$B$5/(1+Params!$B$10*NORMINV(Params!$B$15,0,1)))*(1+Params!$B$10*C71))</f>
        <v/>
      </c>
      <c r="E71">
        <f>IF(C71="","",(Params!$B$5/(1+Params!$C$10*NORMINV(Params!$B$16,0,1)))*(1+Params!$C$10*C71))</f>
        <v/>
      </c>
      <c r="F71">
        <f>IF(C71="","",(Params!$B$5/(1+Params!$D$10*NORMINV(Params!$B$17,0,1)))*(1+Params!$D$10*C71))</f>
        <v/>
      </c>
      <c r="G71">
        <f>IF(C71="","",EXP(LN(Params!$B$5)-Params!$B$11*NORMINV(Params!$B$18,0,1)+Params!$B$11*C71))</f>
        <v/>
      </c>
      <c r="H71">
        <f>IF(C71="","",EXP(LN(Params!$B$5)-Params!$C$11*NORMINV(Params!$B$19,0,1)+Params!$C$11*C71))</f>
        <v/>
      </c>
      <c r="I71">
        <f>IF(C71="","",EXP(LN(Params!$B$5)-Params!$D$11*NORMINV(Params!$B$20,0,1)+Params!$D$11*C71))</f>
        <v/>
      </c>
    </row>
    <row r="72">
      <c r="A72" s="24" t="n">
        <v>70</v>
      </c>
      <c r="B72" s="24">
        <f>IF(A72&lt;=Params!$B$6, MIN(A72/Params!$B$6, 0.9999), "")</f>
        <v/>
      </c>
      <c r="C72" s="24">
        <f>IF(B72="", "", NORMINV(B72,0,1))</f>
        <v/>
      </c>
      <c r="D72" s="24">
        <f>IF(C72="","",(Params!$B$5/(1+Params!$B$10*NORMINV(Params!$B$15,0,1)))*(1+Params!$B$10*C72))</f>
        <v/>
      </c>
      <c r="E72" s="24">
        <f>IF(C72="","",(Params!$B$5/(1+Params!$C$10*NORMINV(Params!$B$16,0,1)))*(1+Params!$C$10*C72))</f>
        <v/>
      </c>
      <c r="F72" s="24">
        <f>IF(C72="","",(Params!$B$5/(1+Params!$D$10*NORMINV(Params!$B$17,0,1)))*(1+Params!$D$10*C72))</f>
        <v/>
      </c>
      <c r="G72" s="24">
        <f>IF(C72="","",EXP(LN(Params!$B$5)-Params!$B$11*NORMINV(Params!$B$18,0,1)+Params!$B$11*C72))</f>
        <v/>
      </c>
      <c r="H72" s="24">
        <f>IF(C72="","",EXP(LN(Params!$B$5)-Params!$C$11*NORMINV(Params!$B$19,0,1)+Params!$C$11*C72))</f>
        <v/>
      </c>
      <c r="I72" s="24">
        <f>IF(C72="","",EXP(LN(Params!$B$5)-Params!$D$11*NORMINV(Params!$B$20,0,1)+Params!$D$11*C72))</f>
        <v/>
      </c>
    </row>
    <row r="73">
      <c r="A73" t="n">
        <v>71</v>
      </c>
      <c r="B73">
        <f>IF(A73&lt;=Params!$B$6, MIN(A73/Params!$B$6, 0.9999), "")</f>
        <v/>
      </c>
      <c r="C73">
        <f>IF(B73="", "", NORMINV(B73,0,1))</f>
        <v/>
      </c>
      <c r="D73">
        <f>IF(C73="","",(Params!$B$5/(1+Params!$B$10*NORMINV(Params!$B$15,0,1)))*(1+Params!$B$10*C73))</f>
        <v/>
      </c>
      <c r="E73">
        <f>IF(C73="","",(Params!$B$5/(1+Params!$C$10*NORMINV(Params!$B$16,0,1)))*(1+Params!$C$10*C73))</f>
        <v/>
      </c>
      <c r="F73">
        <f>IF(C73="","",(Params!$B$5/(1+Params!$D$10*NORMINV(Params!$B$17,0,1)))*(1+Params!$D$10*C73))</f>
        <v/>
      </c>
      <c r="G73">
        <f>IF(C73="","",EXP(LN(Params!$B$5)-Params!$B$11*NORMINV(Params!$B$18,0,1)+Params!$B$11*C73))</f>
        <v/>
      </c>
      <c r="H73">
        <f>IF(C73="","",EXP(LN(Params!$B$5)-Params!$C$11*NORMINV(Params!$B$19,0,1)+Params!$C$11*C73))</f>
        <v/>
      </c>
      <c r="I73">
        <f>IF(C73="","",EXP(LN(Params!$B$5)-Params!$D$11*NORMINV(Params!$B$20,0,1)+Params!$D$11*C73))</f>
        <v/>
      </c>
    </row>
    <row r="74">
      <c r="A74" s="24" t="n">
        <v>72</v>
      </c>
      <c r="B74" s="24">
        <f>IF(A74&lt;=Params!$B$6, MIN(A74/Params!$B$6, 0.9999), "")</f>
        <v/>
      </c>
      <c r="C74" s="24">
        <f>IF(B74="", "", NORMINV(B74,0,1))</f>
        <v/>
      </c>
      <c r="D74" s="24">
        <f>IF(C74="","",(Params!$B$5/(1+Params!$B$10*NORMINV(Params!$B$15,0,1)))*(1+Params!$B$10*C74))</f>
        <v/>
      </c>
      <c r="E74" s="24">
        <f>IF(C74="","",(Params!$B$5/(1+Params!$C$10*NORMINV(Params!$B$16,0,1)))*(1+Params!$C$10*C74))</f>
        <v/>
      </c>
      <c r="F74" s="24">
        <f>IF(C74="","",(Params!$B$5/(1+Params!$D$10*NORMINV(Params!$B$17,0,1)))*(1+Params!$D$10*C74))</f>
        <v/>
      </c>
      <c r="G74" s="24">
        <f>IF(C74="","",EXP(LN(Params!$B$5)-Params!$B$11*NORMINV(Params!$B$18,0,1)+Params!$B$11*C74))</f>
        <v/>
      </c>
      <c r="H74" s="24">
        <f>IF(C74="","",EXP(LN(Params!$B$5)-Params!$C$11*NORMINV(Params!$B$19,0,1)+Params!$C$11*C74))</f>
        <v/>
      </c>
      <c r="I74" s="24">
        <f>IF(C74="","",EXP(LN(Params!$B$5)-Params!$D$11*NORMINV(Params!$B$20,0,1)+Params!$D$11*C74))</f>
        <v/>
      </c>
    </row>
    <row r="75">
      <c r="A75" t="n">
        <v>73</v>
      </c>
      <c r="B75">
        <f>IF(A75&lt;=Params!$B$6, MIN(A75/Params!$B$6, 0.9999), "")</f>
        <v/>
      </c>
      <c r="C75">
        <f>IF(B75="", "", NORMINV(B75,0,1))</f>
        <v/>
      </c>
      <c r="D75">
        <f>IF(C75="","",(Params!$B$5/(1+Params!$B$10*NORMINV(Params!$B$15,0,1)))*(1+Params!$B$10*C75))</f>
        <v/>
      </c>
      <c r="E75">
        <f>IF(C75="","",(Params!$B$5/(1+Params!$C$10*NORMINV(Params!$B$16,0,1)))*(1+Params!$C$10*C75))</f>
        <v/>
      </c>
      <c r="F75">
        <f>IF(C75="","",(Params!$B$5/(1+Params!$D$10*NORMINV(Params!$B$17,0,1)))*(1+Params!$D$10*C75))</f>
        <v/>
      </c>
      <c r="G75">
        <f>IF(C75="","",EXP(LN(Params!$B$5)-Params!$B$11*NORMINV(Params!$B$18,0,1)+Params!$B$11*C75))</f>
        <v/>
      </c>
      <c r="H75">
        <f>IF(C75="","",EXP(LN(Params!$B$5)-Params!$C$11*NORMINV(Params!$B$19,0,1)+Params!$C$11*C75))</f>
        <v/>
      </c>
      <c r="I75">
        <f>IF(C75="","",EXP(LN(Params!$B$5)-Params!$D$11*NORMINV(Params!$B$20,0,1)+Params!$D$11*C75))</f>
        <v/>
      </c>
    </row>
    <row r="76">
      <c r="A76" s="24" t="n">
        <v>74</v>
      </c>
      <c r="B76" s="24">
        <f>IF(A76&lt;=Params!$B$6, MIN(A76/Params!$B$6, 0.9999), "")</f>
        <v/>
      </c>
      <c r="C76" s="24">
        <f>IF(B76="", "", NORMINV(B76,0,1))</f>
        <v/>
      </c>
      <c r="D76" s="24">
        <f>IF(C76="","",(Params!$B$5/(1+Params!$B$10*NORMINV(Params!$B$15,0,1)))*(1+Params!$B$10*C76))</f>
        <v/>
      </c>
      <c r="E76" s="24">
        <f>IF(C76="","",(Params!$B$5/(1+Params!$C$10*NORMINV(Params!$B$16,0,1)))*(1+Params!$C$10*C76))</f>
        <v/>
      </c>
      <c r="F76" s="24">
        <f>IF(C76="","",(Params!$B$5/(1+Params!$D$10*NORMINV(Params!$B$17,0,1)))*(1+Params!$D$10*C76))</f>
        <v/>
      </c>
      <c r="G76" s="24">
        <f>IF(C76="","",EXP(LN(Params!$B$5)-Params!$B$11*NORMINV(Params!$B$18,0,1)+Params!$B$11*C76))</f>
        <v/>
      </c>
      <c r="H76" s="24">
        <f>IF(C76="","",EXP(LN(Params!$B$5)-Params!$C$11*NORMINV(Params!$B$19,0,1)+Params!$C$11*C76))</f>
        <v/>
      </c>
      <c r="I76" s="24">
        <f>IF(C76="","",EXP(LN(Params!$B$5)-Params!$D$11*NORMINV(Params!$B$20,0,1)+Params!$D$11*C76))</f>
        <v/>
      </c>
    </row>
    <row r="77">
      <c r="A77" t="n">
        <v>75</v>
      </c>
      <c r="B77">
        <f>IF(A77&lt;=Params!$B$6, MIN(A77/Params!$B$6, 0.9999), "")</f>
        <v/>
      </c>
      <c r="C77">
        <f>IF(B77="", "", NORMINV(B77,0,1))</f>
        <v/>
      </c>
      <c r="D77">
        <f>IF(C77="","",(Params!$B$5/(1+Params!$B$10*NORMINV(Params!$B$15,0,1)))*(1+Params!$B$10*C77))</f>
        <v/>
      </c>
      <c r="E77">
        <f>IF(C77="","",(Params!$B$5/(1+Params!$C$10*NORMINV(Params!$B$16,0,1)))*(1+Params!$C$10*C77))</f>
        <v/>
      </c>
      <c r="F77">
        <f>IF(C77="","",(Params!$B$5/(1+Params!$D$10*NORMINV(Params!$B$17,0,1)))*(1+Params!$D$10*C77))</f>
        <v/>
      </c>
      <c r="G77">
        <f>IF(C77="","",EXP(LN(Params!$B$5)-Params!$B$11*NORMINV(Params!$B$18,0,1)+Params!$B$11*C77))</f>
        <v/>
      </c>
      <c r="H77">
        <f>IF(C77="","",EXP(LN(Params!$B$5)-Params!$C$11*NORMINV(Params!$B$19,0,1)+Params!$C$11*C77))</f>
        <v/>
      </c>
      <c r="I77">
        <f>IF(C77="","",EXP(LN(Params!$B$5)-Params!$D$11*NORMINV(Params!$B$20,0,1)+Params!$D$11*C77))</f>
        <v/>
      </c>
    </row>
    <row r="78">
      <c r="A78" s="24" t="n">
        <v>76</v>
      </c>
      <c r="B78" s="24">
        <f>IF(A78&lt;=Params!$B$6, MIN(A78/Params!$B$6, 0.9999), "")</f>
        <v/>
      </c>
      <c r="C78" s="24">
        <f>IF(B78="", "", NORMINV(B78,0,1))</f>
        <v/>
      </c>
      <c r="D78" s="24">
        <f>IF(C78="","",(Params!$B$5/(1+Params!$B$10*NORMINV(Params!$B$15,0,1)))*(1+Params!$B$10*C78))</f>
        <v/>
      </c>
      <c r="E78" s="24">
        <f>IF(C78="","",(Params!$B$5/(1+Params!$C$10*NORMINV(Params!$B$16,0,1)))*(1+Params!$C$10*C78))</f>
        <v/>
      </c>
      <c r="F78" s="24">
        <f>IF(C78="","",(Params!$B$5/(1+Params!$D$10*NORMINV(Params!$B$17,0,1)))*(1+Params!$D$10*C78))</f>
        <v/>
      </c>
      <c r="G78" s="24">
        <f>IF(C78="","",EXP(LN(Params!$B$5)-Params!$B$11*NORMINV(Params!$B$18,0,1)+Params!$B$11*C78))</f>
        <v/>
      </c>
      <c r="H78" s="24">
        <f>IF(C78="","",EXP(LN(Params!$B$5)-Params!$C$11*NORMINV(Params!$B$19,0,1)+Params!$C$11*C78))</f>
        <v/>
      </c>
      <c r="I78" s="24">
        <f>IF(C78="","",EXP(LN(Params!$B$5)-Params!$D$11*NORMINV(Params!$B$20,0,1)+Params!$D$11*C78))</f>
        <v/>
      </c>
    </row>
    <row r="79">
      <c r="A79" t="n">
        <v>77</v>
      </c>
      <c r="B79">
        <f>IF(A79&lt;=Params!$B$6, MIN(A79/Params!$B$6, 0.9999), "")</f>
        <v/>
      </c>
      <c r="C79">
        <f>IF(B79="", "", NORMINV(B79,0,1))</f>
        <v/>
      </c>
      <c r="D79">
        <f>IF(C79="","",(Params!$B$5/(1+Params!$B$10*NORMINV(Params!$B$15,0,1)))*(1+Params!$B$10*C79))</f>
        <v/>
      </c>
      <c r="E79">
        <f>IF(C79="","",(Params!$B$5/(1+Params!$C$10*NORMINV(Params!$B$16,0,1)))*(1+Params!$C$10*C79))</f>
        <v/>
      </c>
      <c r="F79">
        <f>IF(C79="","",(Params!$B$5/(1+Params!$D$10*NORMINV(Params!$B$17,0,1)))*(1+Params!$D$10*C79))</f>
        <v/>
      </c>
      <c r="G79">
        <f>IF(C79="","",EXP(LN(Params!$B$5)-Params!$B$11*NORMINV(Params!$B$18,0,1)+Params!$B$11*C79))</f>
        <v/>
      </c>
      <c r="H79">
        <f>IF(C79="","",EXP(LN(Params!$B$5)-Params!$C$11*NORMINV(Params!$B$19,0,1)+Params!$C$11*C79))</f>
        <v/>
      </c>
      <c r="I79">
        <f>IF(C79="","",EXP(LN(Params!$B$5)-Params!$D$11*NORMINV(Params!$B$20,0,1)+Params!$D$11*C79))</f>
        <v/>
      </c>
    </row>
    <row r="80">
      <c r="A80" s="24" t="n">
        <v>78</v>
      </c>
      <c r="B80" s="24">
        <f>IF(A80&lt;=Params!$B$6, MIN(A80/Params!$B$6, 0.9999), "")</f>
        <v/>
      </c>
      <c r="C80" s="24">
        <f>IF(B80="", "", NORMINV(B80,0,1))</f>
        <v/>
      </c>
      <c r="D80" s="24">
        <f>IF(C80="","",(Params!$B$5/(1+Params!$B$10*NORMINV(Params!$B$15,0,1)))*(1+Params!$B$10*C80))</f>
        <v/>
      </c>
      <c r="E80" s="24">
        <f>IF(C80="","",(Params!$B$5/(1+Params!$C$10*NORMINV(Params!$B$16,0,1)))*(1+Params!$C$10*C80))</f>
        <v/>
      </c>
      <c r="F80" s="24">
        <f>IF(C80="","",(Params!$B$5/(1+Params!$D$10*NORMINV(Params!$B$17,0,1)))*(1+Params!$D$10*C80))</f>
        <v/>
      </c>
      <c r="G80" s="24">
        <f>IF(C80="","",EXP(LN(Params!$B$5)-Params!$B$11*NORMINV(Params!$B$18,0,1)+Params!$B$11*C80))</f>
        <v/>
      </c>
      <c r="H80" s="24">
        <f>IF(C80="","",EXP(LN(Params!$B$5)-Params!$C$11*NORMINV(Params!$B$19,0,1)+Params!$C$11*C80))</f>
        <v/>
      </c>
      <c r="I80" s="24">
        <f>IF(C80="","",EXP(LN(Params!$B$5)-Params!$D$11*NORMINV(Params!$B$20,0,1)+Params!$D$11*C80))</f>
        <v/>
      </c>
    </row>
    <row r="81">
      <c r="A81" t="n">
        <v>79</v>
      </c>
      <c r="B81">
        <f>IF(A81&lt;=Params!$B$6, MIN(A81/Params!$B$6, 0.9999), "")</f>
        <v/>
      </c>
      <c r="C81">
        <f>IF(B81="", "", NORMINV(B81,0,1))</f>
        <v/>
      </c>
      <c r="D81">
        <f>IF(C81="","",(Params!$B$5/(1+Params!$B$10*NORMINV(Params!$B$15,0,1)))*(1+Params!$B$10*C81))</f>
        <v/>
      </c>
      <c r="E81">
        <f>IF(C81="","",(Params!$B$5/(1+Params!$C$10*NORMINV(Params!$B$16,0,1)))*(1+Params!$C$10*C81))</f>
        <v/>
      </c>
      <c r="F81">
        <f>IF(C81="","",(Params!$B$5/(1+Params!$D$10*NORMINV(Params!$B$17,0,1)))*(1+Params!$D$10*C81))</f>
        <v/>
      </c>
      <c r="G81">
        <f>IF(C81="","",EXP(LN(Params!$B$5)-Params!$B$11*NORMINV(Params!$B$18,0,1)+Params!$B$11*C81))</f>
        <v/>
      </c>
      <c r="H81">
        <f>IF(C81="","",EXP(LN(Params!$B$5)-Params!$C$11*NORMINV(Params!$B$19,0,1)+Params!$C$11*C81))</f>
        <v/>
      </c>
      <c r="I81">
        <f>IF(C81="","",EXP(LN(Params!$B$5)-Params!$D$11*NORMINV(Params!$B$20,0,1)+Params!$D$11*C81))</f>
        <v/>
      </c>
    </row>
    <row r="82">
      <c r="A82" s="24" t="n">
        <v>80</v>
      </c>
      <c r="B82" s="24">
        <f>IF(A82&lt;=Params!$B$6, MIN(A82/Params!$B$6, 0.9999), "")</f>
        <v/>
      </c>
      <c r="C82" s="24">
        <f>IF(B82="", "", NORMINV(B82,0,1))</f>
        <v/>
      </c>
      <c r="D82" s="24">
        <f>IF(C82="","",(Params!$B$5/(1+Params!$B$10*NORMINV(Params!$B$15,0,1)))*(1+Params!$B$10*C82))</f>
        <v/>
      </c>
      <c r="E82" s="24">
        <f>IF(C82="","",(Params!$B$5/(1+Params!$C$10*NORMINV(Params!$B$16,0,1)))*(1+Params!$C$10*C82))</f>
        <v/>
      </c>
      <c r="F82" s="24">
        <f>IF(C82="","",(Params!$B$5/(1+Params!$D$10*NORMINV(Params!$B$17,0,1)))*(1+Params!$D$10*C82))</f>
        <v/>
      </c>
      <c r="G82" s="24">
        <f>IF(C82="","",EXP(LN(Params!$B$5)-Params!$B$11*NORMINV(Params!$B$18,0,1)+Params!$B$11*C82))</f>
        <v/>
      </c>
      <c r="H82" s="24">
        <f>IF(C82="","",EXP(LN(Params!$B$5)-Params!$C$11*NORMINV(Params!$B$19,0,1)+Params!$C$11*C82))</f>
        <v/>
      </c>
      <c r="I82" s="24">
        <f>IF(C82="","",EXP(LN(Params!$B$5)-Params!$D$11*NORMINV(Params!$B$20,0,1)+Params!$D$11*C82))</f>
        <v/>
      </c>
    </row>
    <row r="83">
      <c r="A83" t="n">
        <v>81</v>
      </c>
      <c r="B83">
        <f>IF(A83&lt;=Params!$B$6, MIN(A83/Params!$B$6, 0.9999), "")</f>
        <v/>
      </c>
      <c r="C83">
        <f>IF(B83="", "", NORMINV(B83,0,1))</f>
        <v/>
      </c>
      <c r="D83">
        <f>IF(C83="","",(Params!$B$5/(1+Params!$B$10*NORMINV(Params!$B$15,0,1)))*(1+Params!$B$10*C83))</f>
        <v/>
      </c>
      <c r="E83">
        <f>IF(C83="","",(Params!$B$5/(1+Params!$C$10*NORMINV(Params!$B$16,0,1)))*(1+Params!$C$10*C83))</f>
        <v/>
      </c>
      <c r="F83">
        <f>IF(C83="","",(Params!$B$5/(1+Params!$D$10*NORMINV(Params!$B$17,0,1)))*(1+Params!$D$10*C83))</f>
        <v/>
      </c>
      <c r="G83">
        <f>IF(C83="","",EXP(LN(Params!$B$5)-Params!$B$11*NORMINV(Params!$B$18,0,1)+Params!$B$11*C83))</f>
        <v/>
      </c>
      <c r="H83">
        <f>IF(C83="","",EXP(LN(Params!$B$5)-Params!$C$11*NORMINV(Params!$B$19,0,1)+Params!$C$11*C83))</f>
        <v/>
      </c>
      <c r="I83">
        <f>IF(C83="","",EXP(LN(Params!$B$5)-Params!$D$11*NORMINV(Params!$B$20,0,1)+Params!$D$11*C83))</f>
        <v/>
      </c>
    </row>
    <row r="84">
      <c r="A84" s="24" t="n">
        <v>82</v>
      </c>
      <c r="B84" s="24">
        <f>IF(A84&lt;=Params!$B$6, MIN(A84/Params!$B$6, 0.9999), "")</f>
        <v/>
      </c>
      <c r="C84" s="24">
        <f>IF(B84="", "", NORMINV(B84,0,1))</f>
        <v/>
      </c>
      <c r="D84" s="24">
        <f>IF(C84="","",(Params!$B$5/(1+Params!$B$10*NORMINV(Params!$B$15,0,1)))*(1+Params!$B$10*C84))</f>
        <v/>
      </c>
      <c r="E84" s="24">
        <f>IF(C84="","",(Params!$B$5/(1+Params!$C$10*NORMINV(Params!$B$16,0,1)))*(1+Params!$C$10*C84))</f>
        <v/>
      </c>
      <c r="F84" s="24">
        <f>IF(C84="","",(Params!$B$5/(1+Params!$D$10*NORMINV(Params!$B$17,0,1)))*(1+Params!$D$10*C84))</f>
        <v/>
      </c>
      <c r="G84" s="24">
        <f>IF(C84="","",EXP(LN(Params!$B$5)-Params!$B$11*NORMINV(Params!$B$18,0,1)+Params!$B$11*C84))</f>
        <v/>
      </c>
      <c r="H84" s="24">
        <f>IF(C84="","",EXP(LN(Params!$B$5)-Params!$C$11*NORMINV(Params!$B$19,0,1)+Params!$C$11*C84))</f>
        <v/>
      </c>
      <c r="I84" s="24">
        <f>IF(C84="","",EXP(LN(Params!$B$5)-Params!$D$11*NORMINV(Params!$B$20,0,1)+Params!$D$11*C84))</f>
        <v/>
      </c>
    </row>
    <row r="85">
      <c r="A85" t="n">
        <v>83</v>
      </c>
      <c r="B85">
        <f>IF(A85&lt;=Params!$B$6, MIN(A85/Params!$B$6, 0.9999), "")</f>
        <v/>
      </c>
      <c r="C85">
        <f>IF(B85="", "", NORMINV(B85,0,1))</f>
        <v/>
      </c>
      <c r="D85">
        <f>IF(C85="","",(Params!$B$5/(1+Params!$B$10*NORMINV(Params!$B$15,0,1)))*(1+Params!$B$10*C85))</f>
        <v/>
      </c>
      <c r="E85">
        <f>IF(C85="","",(Params!$B$5/(1+Params!$C$10*NORMINV(Params!$B$16,0,1)))*(1+Params!$C$10*C85))</f>
        <v/>
      </c>
      <c r="F85">
        <f>IF(C85="","",(Params!$B$5/(1+Params!$D$10*NORMINV(Params!$B$17,0,1)))*(1+Params!$D$10*C85))</f>
        <v/>
      </c>
      <c r="G85">
        <f>IF(C85="","",EXP(LN(Params!$B$5)-Params!$B$11*NORMINV(Params!$B$18,0,1)+Params!$B$11*C85))</f>
        <v/>
      </c>
      <c r="H85">
        <f>IF(C85="","",EXP(LN(Params!$B$5)-Params!$C$11*NORMINV(Params!$B$19,0,1)+Params!$C$11*C85))</f>
        <v/>
      </c>
      <c r="I85">
        <f>IF(C85="","",EXP(LN(Params!$B$5)-Params!$D$11*NORMINV(Params!$B$20,0,1)+Params!$D$11*C85))</f>
        <v/>
      </c>
    </row>
    <row r="86">
      <c r="A86" s="24" t="n">
        <v>84</v>
      </c>
      <c r="B86" s="24">
        <f>IF(A86&lt;=Params!$B$6, MIN(A86/Params!$B$6, 0.9999), "")</f>
        <v/>
      </c>
      <c r="C86" s="24">
        <f>IF(B86="", "", NORMINV(B86,0,1))</f>
        <v/>
      </c>
      <c r="D86" s="24">
        <f>IF(C86="","",(Params!$B$5/(1+Params!$B$10*NORMINV(Params!$B$15,0,1)))*(1+Params!$B$10*C86))</f>
        <v/>
      </c>
      <c r="E86" s="24">
        <f>IF(C86="","",(Params!$B$5/(1+Params!$C$10*NORMINV(Params!$B$16,0,1)))*(1+Params!$C$10*C86))</f>
        <v/>
      </c>
      <c r="F86" s="24">
        <f>IF(C86="","",(Params!$B$5/(1+Params!$D$10*NORMINV(Params!$B$17,0,1)))*(1+Params!$D$10*C86))</f>
        <v/>
      </c>
      <c r="G86" s="24">
        <f>IF(C86="","",EXP(LN(Params!$B$5)-Params!$B$11*NORMINV(Params!$B$18,0,1)+Params!$B$11*C86))</f>
        <v/>
      </c>
      <c r="H86" s="24">
        <f>IF(C86="","",EXP(LN(Params!$B$5)-Params!$C$11*NORMINV(Params!$B$19,0,1)+Params!$C$11*C86))</f>
        <v/>
      </c>
      <c r="I86" s="24">
        <f>IF(C86="","",EXP(LN(Params!$B$5)-Params!$D$11*NORMINV(Params!$B$20,0,1)+Params!$D$11*C86))</f>
        <v/>
      </c>
    </row>
    <row r="87">
      <c r="A87" t="n">
        <v>85</v>
      </c>
      <c r="B87">
        <f>IF(A87&lt;=Params!$B$6, MIN(A87/Params!$B$6, 0.9999), "")</f>
        <v/>
      </c>
      <c r="C87">
        <f>IF(B87="", "", NORMINV(B87,0,1))</f>
        <v/>
      </c>
      <c r="D87">
        <f>IF(C87="","",(Params!$B$5/(1+Params!$B$10*NORMINV(Params!$B$15,0,1)))*(1+Params!$B$10*C87))</f>
        <v/>
      </c>
      <c r="E87">
        <f>IF(C87="","",(Params!$B$5/(1+Params!$C$10*NORMINV(Params!$B$16,0,1)))*(1+Params!$C$10*C87))</f>
        <v/>
      </c>
      <c r="F87">
        <f>IF(C87="","",(Params!$B$5/(1+Params!$D$10*NORMINV(Params!$B$17,0,1)))*(1+Params!$D$10*C87))</f>
        <v/>
      </c>
      <c r="G87">
        <f>IF(C87="","",EXP(LN(Params!$B$5)-Params!$B$11*NORMINV(Params!$B$18,0,1)+Params!$B$11*C87))</f>
        <v/>
      </c>
      <c r="H87">
        <f>IF(C87="","",EXP(LN(Params!$B$5)-Params!$C$11*NORMINV(Params!$B$19,0,1)+Params!$C$11*C87))</f>
        <v/>
      </c>
      <c r="I87">
        <f>IF(C87="","",EXP(LN(Params!$B$5)-Params!$D$11*NORMINV(Params!$B$20,0,1)+Params!$D$11*C87))</f>
        <v/>
      </c>
    </row>
    <row r="88">
      <c r="A88" s="24" t="n">
        <v>86</v>
      </c>
      <c r="B88" s="24">
        <f>IF(A88&lt;=Params!$B$6, MIN(A88/Params!$B$6, 0.9999), "")</f>
        <v/>
      </c>
      <c r="C88" s="24">
        <f>IF(B88="", "", NORMINV(B88,0,1))</f>
        <v/>
      </c>
      <c r="D88" s="24">
        <f>IF(C88="","",(Params!$B$5/(1+Params!$B$10*NORMINV(Params!$B$15,0,1)))*(1+Params!$B$10*C88))</f>
        <v/>
      </c>
      <c r="E88" s="24">
        <f>IF(C88="","",(Params!$B$5/(1+Params!$C$10*NORMINV(Params!$B$16,0,1)))*(1+Params!$C$10*C88))</f>
        <v/>
      </c>
      <c r="F88" s="24">
        <f>IF(C88="","",(Params!$B$5/(1+Params!$D$10*NORMINV(Params!$B$17,0,1)))*(1+Params!$D$10*C88))</f>
        <v/>
      </c>
      <c r="G88" s="24">
        <f>IF(C88="","",EXP(LN(Params!$B$5)-Params!$B$11*NORMINV(Params!$B$18,0,1)+Params!$B$11*C88))</f>
        <v/>
      </c>
      <c r="H88" s="24">
        <f>IF(C88="","",EXP(LN(Params!$B$5)-Params!$C$11*NORMINV(Params!$B$19,0,1)+Params!$C$11*C88))</f>
        <v/>
      </c>
      <c r="I88" s="24">
        <f>IF(C88="","",EXP(LN(Params!$B$5)-Params!$D$11*NORMINV(Params!$B$20,0,1)+Params!$D$11*C88))</f>
        <v/>
      </c>
    </row>
    <row r="89">
      <c r="A89" t="n">
        <v>87</v>
      </c>
      <c r="B89">
        <f>IF(A89&lt;=Params!$B$6, MIN(A89/Params!$B$6, 0.9999), "")</f>
        <v/>
      </c>
      <c r="C89">
        <f>IF(B89="", "", NORMINV(B89,0,1))</f>
        <v/>
      </c>
      <c r="D89">
        <f>IF(C89="","",(Params!$B$5/(1+Params!$B$10*NORMINV(Params!$B$15,0,1)))*(1+Params!$B$10*C89))</f>
        <v/>
      </c>
      <c r="E89">
        <f>IF(C89="","",(Params!$B$5/(1+Params!$C$10*NORMINV(Params!$B$16,0,1)))*(1+Params!$C$10*C89))</f>
        <v/>
      </c>
      <c r="F89">
        <f>IF(C89="","",(Params!$B$5/(1+Params!$D$10*NORMINV(Params!$B$17,0,1)))*(1+Params!$D$10*C89))</f>
        <v/>
      </c>
      <c r="G89">
        <f>IF(C89="","",EXP(LN(Params!$B$5)-Params!$B$11*NORMINV(Params!$B$18,0,1)+Params!$B$11*C89))</f>
        <v/>
      </c>
      <c r="H89">
        <f>IF(C89="","",EXP(LN(Params!$B$5)-Params!$C$11*NORMINV(Params!$B$19,0,1)+Params!$C$11*C89))</f>
        <v/>
      </c>
      <c r="I89">
        <f>IF(C89="","",EXP(LN(Params!$B$5)-Params!$D$11*NORMINV(Params!$B$20,0,1)+Params!$D$11*C89))</f>
        <v/>
      </c>
    </row>
    <row r="90">
      <c r="A90" s="24" t="n">
        <v>88</v>
      </c>
      <c r="B90" s="24">
        <f>IF(A90&lt;=Params!$B$6, MIN(A90/Params!$B$6, 0.9999), "")</f>
        <v/>
      </c>
      <c r="C90" s="24">
        <f>IF(B90="", "", NORMINV(B90,0,1))</f>
        <v/>
      </c>
      <c r="D90" s="24">
        <f>IF(C90="","",(Params!$B$5/(1+Params!$B$10*NORMINV(Params!$B$15,0,1)))*(1+Params!$B$10*C90))</f>
        <v/>
      </c>
      <c r="E90" s="24">
        <f>IF(C90="","",(Params!$B$5/(1+Params!$C$10*NORMINV(Params!$B$16,0,1)))*(1+Params!$C$10*C90))</f>
        <v/>
      </c>
      <c r="F90" s="24">
        <f>IF(C90="","",(Params!$B$5/(1+Params!$D$10*NORMINV(Params!$B$17,0,1)))*(1+Params!$D$10*C90))</f>
        <v/>
      </c>
      <c r="G90" s="24">
        <f>IF(C90="","",EXP(LN(Params!$B$5)-Params!$B$11*NORMINV(Params!$B$18,0,1)+Params!$B$11*C90))</f>
        <v/>
      </c>
      <c r="H90" s="24">
        <f>IF(C90="","",EXP(LN(Params!$B$5)-Params!$C$11*NORMINV(Params!$B$19,0,1)+Params!$C$11*C90))</f>
        <v/>
      </c>
      <c r="I90" s="24">
        <f>IF(C90="","",EXP(LN(Params!$B$5)-Params!$D$11*NORMINV(Params!$B$20,0,1)+Params!$D$11*C90))</f>
        <v/>
      </c>
    </row>
    <row r="91">
      <c r="A91" t="n">
        <v>89</v>
      </c>
      <c r="B91">
        <f>IF(A91&lt;=Params!$B$6, MIN(A91/Params!$B$6, 0.9999), "")</f>
        <v/>
      </c>
      <c r="C91">
        <f>IF(B91="", "", NORMINV(B91,0,1))</f>
        <v/>
      </c>
      <c r="D91">
        <f>IF(C91="","",(Params!$B$5/(1+Params!$B$10*NORMINV(Params!$B$15,0,1)))*(1+Params!$B$10*C91))</f>
        <v/>
      </c>
      <c r="E91">
        <f>IF(C91="","",(Params!$B$5/(1+Params!$C$10*NORMINV(Params!$B$16,0,1)))*(1+Params!$C$10*C91))</f>
        <v/>
      </c>
      <c r="F91">
        <f>IF(C91="","",(Params!$B$5/(1+Params!$D$10*NORMINV(Params!$B$17,0,1)))*(1+Params!$D$10*C91))</f>
        <v/>
      </c>
      <c r="G91">
        <f>IF(C91="","",EXP(LN(Params!$B$5)-Params!$B$11*NORMINV(Params!$B$18,0,1)+Params!$B$11*C91))</f>
        <v/>
      </c>
      <c r="H91">
        <f>IF(C91="","",EXP(LN(Params!$B$5)-Params!$C$11*NORMINV(Params!$B$19,0,1)+Params!$C$11*C91))</f>
        <v/>
      </c>
      <c r="I91">
        <f>IF(C91="","",EXP(LN(Params!$B$5)-Params!$D$11*NORMINV(Params!$B$20,0,1)+Params!$D$11*C91))</f>
        <v/>
      </c>
    </row>
    <row r="92">
      <c r="A92" s="24" t="n">
        <v>90</v>
      </c>
      <c r="B92" s="24">
        <f>IF(A92&lt;=Params!$B$6, MIN(A92/Params!$B$6, 0.9999), "")</f>
        <v/>
      </c>
      <c r="C92" s="24">
        <f>IF(B92="", "", NORMINV(B92,0,1))</f>
        <v/>
      </c>
      <c r="D92" s="24">
        <f>IF(C92="","",(Params!$B$5/(1+Params!$B$10*NORMINV(Params!$B$15,0,1)))*(1+Params!$B$10*C92))</f>
        <v/>
      </c>
      <c r="E92" s="24">
        <f>IF(C92="","",(Params!$B$5/(1+Params!$C$10*NORMINV(Params!$B$16,0,1)))*(1+Params!$C$10*C92))</f>
        <v/>
      </c>
      <c r="F92" s="24">
        <f>IF(C92="","",(Params!$B$5/(1+Params!$D$10*NORMINV(Params!$B$17,0,1)))*(1+Params!$D$10*C92))</f>
        <v/>
      </c>
      <c r="G92" s="24">
        <f>IF(C92="","",EXP(LN(Params!$B$5)-Params!$B$11*NORMINV(Params!$B$18,0,1)+Params!$B$11*C92))</f>
        <v/>
      </c>
      <c r="H92" s="24">
        <f>IF(C92="","",EXP(LN(Params!$B$5)-Params!$C$11*NORMINV(Params!$B$19,0,1)+Params!$C$11*C92))</f>
        <v/>
      </c>
      <c r="I92" s="24">
        <f>IF(C92="","",EXP(LN(Params!$B$5)-Params!$D$11*NORMINV(Params!$B$20,0,1)+Params!$D$11*C92))</f>
        <v/>
      </c>
    </row>
    <row r="93">
      <c r="A93" t="n">
        <v>91</v>
      </c>
      <c r="B93">
        <f>IF(A93&lt;=Params!$B$6, MIN(A93/Params!$B$6, 0.9999), "")</f>
        <v/>
      </c>
      <c r="C93">
        <f>IF(B93="", "", NORMINV(B93,0,1))</f>
        <v/>
      </c>
      <c r="D93">
        <f>IF(C93="","",(Params!$B$5/(1+Params!$B$10*NORMINV(Params!$B$15,0,1)))*(1+Params!$B$10*C93))</f>
        <v/>
      </c>
      <c r="E93">
        <f>IF(C93="","",(Params!$B$5/(1+Params!$C$10*NORMINV(Params!$B$16,0,1)))*(1+Params!$C$10*C93))</f>
        <v/>
      </c>
      <c r="F93">
        <f>IF(C93="","",(Params!$B$5/(1+Params!$D$10*NORMINV(Params!$B$17,0,1)))*(1+Params!$D$10*C93))</f>
        <v/>
      </c>
      <c r="G93">
        <f>IF(C93="","",EXP(LN(Params!$B$5)-Params!$B$11*NORMINV(Params!$B$18,0,1)+Params!$B$11*C93))</f>
        <v/>
      </c>
      <c r="H93">
        <f>IF(C93="","",EXP(LN(Params!$B$5)-Params!$C$11*NORMINV(Params!$B$19,0,1)+Params!$C$11*C93))</f>
        <v/>
      </c>
      <c r="I93">
        <f>IF(C93="","",EXP(LN(Params!$B$5)-Params!$D$11*NORMINV(Params!$B$20,0,1)+Params!$D$11*C93))</f>
        <v/>
      </c>
    </row>
    <row r="94">
      <c r="A94" s="24" t="n">
        <v>92</v>
      </c>
      <c r="B94" s="24">
        <f>IF(A94&lt;=Params!$B$6, MIN(A94/Params!$B$6, 0.9999), "")</f>
        <v/>
      </c>
      <c r="C94" s="24">
        <f>IF(B94="", "", NORMINV(B94,0,1))</f>
        <v/>
      </c>
      <c r="D94" s="24">
        <f>IF(C94="","",(Params!$B$5/(1+Params!$B$10*NORMINV(Params!$B$15,0,1)))*(1+Params!$B$10*C94))</f>
        <v/>
      </c>
      <c r="E94" s="24">
        <f>IF(C94="","",(Params!$B$5/(1+Params!$C$10*NORMINV(Params!$B$16,0,1)))*(1+Params!$C$10*C94))</f>
        <v/>
      </c>
      <c r="F94" s="24">
        <f>IF(C94="","",(Params!$B$5/(1+Params!$D$10*NORMINV(Params!$B$17,0,1)))*(1+Params!$D$10*C94))</f>
        <v/>
      </c>
      <c r="G94" s="24">
        <f>IF(C94="","",EXP(LN(Params!$B$5)-Params!$B$11*NORMINV(Params!$B$18,0,1)+Params!$B$11*C94))</f>
        <v/>
      </c>
      <c r="H94" s="24">
        <f>IF(C94="","",EXP(LN(Params!$B$5)-Params!$C$11*NORMINV(Params!$B$19,0,1)+Params!$C$11*C94))</f>
        <v/>
      </c>
      <c r="I94" s="24">
        <f>IF(C94="","",EXP(LN(Params!$B$5)-Params!$D$11*NORMINV(Params!$B$20,0,1)+Params!$D$11*C94))</f>
        <v/>
      </c>
    </row>
    <row r="95">
      <c r="A95" t="n">
        <v>93</v>
      </c>
      <c r="B95">
        <f>IF(A95&lt;=Params!$B$6, MIN(A95/Params!$B$6, 0.9999), "")</f>
        <v/>
      </c>
      <c r="C95">
        <f>IF(B95="", "", NORMINV(B95,0,1))</f>
        <v/>
      </c>
      <c r="D95">
        <f>IF(C95="","",(Params!$B$5/(1+Params!$B$10*NORMINV(Params!$B$15,0,1)))*(1+Params!$B$10*C95))</f>
        <v/>
      </c>
      <c r="E95">
        <f>IF(C95="","",(Params!$B$5/(1+Params!$C$10*NORMINV(Params!$B$16,0,1)))*(1+Params!$C$10*C95))</f>
        <v/>
      </c>
      <c r="F95">
        <f>IF(C95="","",(Params!$B$5/(1+Params!$D$10*NORMINV(Params!$B$17,0,1)))*(1+Params!$D$10*C95))</f>
        <v/>
      </c>
      <c r="G95">
        <f>IF(C95="","",EXP(LN(Params!$B$5)-Params!$B$11*NORMINV(Params!$B$18,0,1)+Params!$B$11*C95))</f>
        <v/>
      </c>
      <c r="H95">
        <f>IF(C95="","",EXP(LN(Params!$B$5)-Params!$C$11*NORMINV(Params!$B$19,0,1)+Params!$C$11*C95))</f>
        <v/>
      </c>
      <c r="I95">
        <f>IF(C95="","",EXP(LN(Params!$B$5)-Params!$D$11*NORMINV(Params!$B$20,0,1)+Params!$D$11*C95))</f>
        <v/>
      </c>
    </row>
    <row r="96">
      <c r="A96" s="24" t="n">
        <v>94</v>
      </c>
      <c r="B96" s="24">
        <f>IF(A96&lt;=Params!$B$6, MIN(A96/Params!$B$6, 0.9999), "")</f>
        <v/>
      </c>
      <c r="C96" s="24">
        <f>IF(B96="", "", NORMINV(B96,0,1))</f>
        <v/>
      </c>
      <c r="D96" s="24">
        <f>IF(C96="","",(Params!$B$5/(1+Params!$B$10*NORMINV(Params!$B$15,0,1)))*(1+Params!$B$10*C96))</f>
        <v/>
      </c>
      <c r="E96" s="24">
        <f>IF(C96="","",(Params!$B$5/(1+Params!$C$10*NORMINV(Params!$B$16,0,1)))*(1+Params!$C$10*C96))</f>
        <v/>
      </c>
      <c r="F96" s="24">
        <f>IF(C96="","",(Params!$B$5/(1+Params!$D$10*NORMINV(Params!$B$17,0,1)))*(1+Params!$D$10*C96))</f>
        <v/>
      </c>
      <c r="G96" s="24">
        <f>IF(C96="","",EXP(LN(Params!$B$5)-Params!$B$11*NORMINV(Params!$B$18,0,1)+Params!$B$11*C96))</f>
        <v/>
      </c>
      <c r="H96" s="24">
        <f>IF(C96="","",EXP(LN(Params!$B$5)-Params!$C$11*NORMINV(Params!$B$19,0,1)+Params!$C$11*C96))</f>
        <v/>
      </c>
      <c r="I96" s="24">
        <f>IF(C96="","",EXP(LN(Params!$B$5)-Params!$D$11*NORMINV(Params!$B$20,0,1)+Params!$D$11*C96))</f>
        <v/>
      </c>
    </row>
    <row r="97">
      <c r="A97" t="n">
        <v>95</v>
      </c>
      <c r="B97">
        <f>IF(A97&lt;=Params!$B$6, MIN(A97/Params!$B$6, 0.9999), "")</f>
        <v/>
      </c>
      <c r="C97">
        <f>IF(B97="", "", NORMINV(B97,0,1))</f>
        <v/>
      </c>
      <c r="D97">
        <f>IF(C97="","",(Params!$B$5/(1+Params!$B$10*NORMINV(Params!$B$15,0,1)))*(1+Params!$B$10*C97))</f>
        <v/>
      </c>
      <c r="E97">
        <f>IF(C97="","",(Params!$B$5/(1+Params!$C$10*NORMINV(Params!$B$16,0,1)))*(1+Params!$C$10*C97))</f>
        <v/>
      </c>
      <c r="F97">
        <f>IF(C97="","",(Params!$B$5/(1+Params!$D$10*NORMINV(Params!$B$17,0,1)))*(1+Params!$D$10*C97))</f>
        <v/>
      </c>
      <c r="G97">
        <f>IF(C97="","",EXP(LN(Params!$B$5)-Params!$B$11*NORMINV(Params!$B$18,0,1)+Params!$B$11*C97))</f>
        <v/>
      </c>
      <c r="H97">
        <f>IF(C97="","",EXP(LN(Params!$B$5)-Params!$C$11*NORMINV(Params!$B$19,0,1)+Params!$C$11*C97))</f>
        <v/>
      </c>
      <c r="I97">
        <f>IF(C97="","",EXP(LN(Params!$B$5)-Params!$D$11*NORMINV(Params!$B$20,0,1)+Params!$D$11*C97))</f>
        <v/>
      </c>
    </row>
    <row r="98">
      <c r="A98" s="24" t="n">
        <v>96</v>
      </c>
      <c r="B98" s="24">
        <f>IF(A98&lt;=Params!$B$6, MIN(A98/Params!$B$6, 0.9999), "")</f>
        <v/>
      </c>
      <c r="C98" s="24">
        <f>IF(B98="", "", NORMINV(B98,0,1))</f>
        <v/>
      </c>
      <c r="D98" s="24">
        <f>IF(C98="","",(Params!$B$5/(1+Params!$B$10*NORMINV(Params!$B$15,0,1)))*(1+Params!$B$10*C98))</f>
        <v/>
      </c>
      <c r="E98" s="24">
        <f>IF(C98="","",(Params!$B$5/(1+Params!$C$10*NORMINV(Params!$B$16,0,1)))*(1+Params!$C$10*C98))</f>
        <v/>
      </c>
      <c r="F98" s="24">
        <f>IF(C98="","",(Params!$B$5/(1+Params!$D$10*NORMINV(Params!$B$17,0,1)))*(1+Params!$D$10*C98))</f>
        <v/>
      </c>
      <c r="G98" s="24">
        <f>IF(C98="","",EXP(LN(Params!$B$5)-Params!$B$11*NORMINV(Params!$B$18,0,1)+Params!$B$11*C98))</f>
        <v/>
      </c>
      <c r="H98" s="24">
        <f>IF(C98="","",EXP(LN(Params!$B$5)-Params!$C$11*NORMINV(Params!$B$19,0,1)+Params!$C$11*C98))</f>
        <v/>
      </c>
      <c r="I98" s="24">
        <f>IF(C98="","",EXP(LN(Params!$B$5)-Params!$D$11*NORMINV(Params!$B$20,0,1)+Params!$D$11*C98))</f>
        <v/>
      </c>
    </row>
    <row r="99">
      <c r="A99" t="n">
        <v>97</v>
      </c>
      <c r="B99">
        <f>IF(A99&lt;=Params!$B$6, MIN(A99/Params!$B$6, 0.9999), "")</f>
        <v/>
      </c>
      <c r="C99">
        <f>IF(B99="", "", NORMINV(B99,0,1))</f>
        <v/>
      </c>
      <c r="D99">
        <f>IF(C99="","",(Params!$B$5/(1+Params!$B$10*NORMINV(Params!$B$15,0,1)))*(1+Params!$B$10*C99))</f>
        <v/>
      </c>
      <c r="E99">
        <f>IF(C99="","",(Params!$B$5/(1+Params!$C$10*NORMINV(Params!$B$16,0,1)))*(1+Params!$C$10*C99))</f>
        <v/>
      </c>
      <c r="F99">
        <f>IF(C99="","",(Params!$B$5/(1+Params!$D$10*NORMINV(Params!$B$17,0,1)))*(1+Params!$D$10*C99))</f>
        <v/>
      </c>
      <c r="G99">
        <f>IF(C99="","",EXP(LN(Params!$B$5)-Params!$B$11*NORMINV(Params!$B$18,0,1)+Params!$B$11*C99))</f>
        <v/>
      </c>
      <c r="H99">
        <f>IF(C99="","",EXP(LN(Params!$B$5)-Params!$C$11*NORMINV(Params!$B$19,0,1)+Params!$C$11*C99))</f>
        <v/>
      </c>
      <c r="I99">
        <f>IF(C99="","",EXP(LN(Params!$B$5)-Params!$D$11*NORMINV(Params!$B$20,0,1)+Params!$D$11*C99))</f>
        <v/>
      </c>
    </row>
    <row r="100">
      <c r="A100" s="24" t="n">
        <v>98</v>
      </c>
      <c r="B100" s="24">
        <f>IF(A100&lt;=Params!$B$6, MIN(A100/Params!$B$6, 0.9999), "")</f>
        <v/>
      </c>
      <c r="C100" s="24">
        <f>IF(B100="", "", NORMINV(B100,0,1))</f>
        <v/>
      </c>
      <c r="D100" s="24">
        <f>IF(C100="","",(Params!$B$5/(1+Params!$B$10*NORMINV(Params!$B$15,0,1)))*(1+Params!$B$10*C100))</f>
        <v/>
      </c>
      <c r="E100" s="24">
        <f>IF(C100="","",(Params!$B$5/(1+Params!$C$10*NORMINV(Params!$B$16,0,1)))*(1+Params!$C$10*C100))</f>
        <v/>
      </c>
      <c r="F100" s="24">
        <f>IF(C100="","",(Params!$B$5/(1+Params!$D$10*NORMINV(Params!$B$17,0,1)))*(1+Params!$D$10*C100))</f>
        <v/>
      </c>
      <c r="G100" s="24">
        <f>IF(C100="","",EXP(LN(Params!$B$5)-Params!$B$11*NORMINV(Params!$B$18,0,1)+Params!$B$11*C100))</f>
        <v/>
      </c>
      <c r="H100" s="24">
        <f>IF(C100="","",EXP(LN(Params!$B$5)-Params!$C$11*NORMINV(Params!$B$19,0,1)+Params!$C$11*C100))</f>
        <v/>
      </c>
      <c r="I100" s="24">
        <f>IF(C100="","",EXP(LN(Params!$B$5)-Params!$D$11*NORMINV(Params!$B$20,0,1)+Params!$D$11*C100))</f>
        <v/>
      </c>
    </row>
    <row r="101">
      <c r="A101" t="n">
        <v>99</v>
      </c>
      <c r="B101">
        <f>IF(A101&lt;=Params!$B$6, MIN(A101/Params!$B$6, 0.9999), "")</f>
        <v/>
      </c>
      <c r="C101">
        <f>IF(B101="", "", NORMINV(B101,0,1))</f>
        <v/>
      </c>
      <c r="D101">
        <f>IF(C101="","",(Params!$B$5/(1+Params!$B$10*NORMINV(Params!$B$15,0,1)))*(1+Params!$B$10*C101))</f>
        <v/>
      </c>
      <c r="E101">
        <f>IF(C101="","",(Params!$B$5/(1+Params!$C$10*NORMINV(Params!$B$16,0,1)))*(1+Params!$C$10*C101))</f>
        <v/>
      </c>
      <c r="F101">
        <f>IF(C101="","",(Params!$B$5/(1+Params!$D$10*NORMINV(Params!$B$17,0,1)))*(1+Params!$D$10*C101))</f>
        <v/>
      </c>
      <c r="G101">
        <f>IF(C101="","",EXP(LN(Params!$B$5)-Params!$B$11*NORMINV(Params!$B$18,0,1)+Params!$B$11*C101))</f>
        <v/>
      </c>
      <c r="H101">
        <f>IF(C101="","",EXP(LN(Params!$B$5)-Params!$C$11*NORMINV(Params!$B$19,0,1)+Params!$C$11*C101))</f>
        <v/>
      </c>
      <c r="I101">
        <f>IF(C101="","",EXP(LN(Params!$B$5)-Params!$D$11*NORMINV(Params!$B$20,0,1)+Params!$D$11*C101))</f>
        <v/>
      </c>
    </row>
    <row r="102">
      <c r="A102" s="24" t="n">
        <v>100</v>
      </c>
      <c r="B102" s="24">
        <f>IF(A102&lt;=Params!$B$6, MIN(A102/Params!$B$6, 0.9999), "")</f>
        <v/>
      </c>
      <c r="C102" s="24">
        <f>IF(B102="", "", NORMINV(B102,0,1))</f>
        <v/>
      </c>
      <c r="D102" s="24">
        <f>IF(C102="","",(Params!$B$5/(1+Params!$B$10*NORMINV(Params!$B$15,0,1)))*(1+Params!$B$10*C102))</f>
        <v/>
      </c>
      <c r="E102" s="24">
        <f>IF(C102="","",(Params!$B$5/(1+Params!$C$10*NORMINV(Params!$B$16,0,1)))*(1+Params!$C$10*C102))</f>
        <v/>
      </c>
      <c r="F102" s="24">
        <f>IF(C102="","",(Params!$B$5/(1+Params!$D$10*NORMINV(Params!$B$17,0,1)))*(1+Params!$D$10*C102))</f>
        <v/>
      </c>
      <c r="G102" s="24">
        <f>IF(C102="","",EXP(LN(Params!$B$5)-Params!$B$11*NORMINV(Params!$B$18,0,1)+Params!$B$11*C102))</f>
        <v/>
      </c>
      <c r="H102" s="24">
        <f>IF(C102="","",EXP(LN(Params!$B$5)-Params!$C$11*NORMINV(Params!$B$19,0,1)+Params!$C$11*C102))</f>
        <v/>
      </c>
      <c r="I102" s="24">
        <f>IF(C102="","",EXP(LN(Params!$B$5)-Params!$D$11*NORMINV(Params!$B$20,0,1)+Params!$D$11*C102))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2026-03-07T12:15:18Z</dcterms:created>
  <dcterms:modified xmlns:dcterms="http://purl.org/dc/terms/" xmlns:xsi="http://www.w3.org/2001/XMLSchema-instance" xsi:type="dcterms:W3CDTF">2026-03-08T11:53:36Z</dcterms:modified>
  <cp:lastModifiedBy>Wei YANG</cp:lastModifiedBy>
  <cp:revision>0</cp:revision>
</cp:coreProperties>
</file>